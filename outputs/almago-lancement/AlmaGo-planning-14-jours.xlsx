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87ce17e7f854f9e" /></Relationships>
</file>

<file path=xl/workbook.xml><?xml version="1.0" encoding="utf-8"?>
<x:workbook xmlns:x="http://schemas.openxmlformats.org/spreadsheetml/2006/main">
  <x:sheets>
    <x:sheet xmlns:r="http://schemas.openxmlformats.org/officeDocument/2006/relationships" name="Calendrier" sheetId="1" r:id="R1bcfb7e1da914927"/>
    <x:sheet xmlns:r="http://schemas.openxmlformats.org/officeDocument/2006/relationships" name="Publications" sheetId="2" r:id="Rfc439ce819c4482f"/>
    <x:sheet xmlns:r="http://schemas.openxmlformats.org/officeDocument/2006/relationships" name="Textes" sheetId="3" r:id="R5d83112c392f461e"/>
    <x:sheet xmlns:r="http://schemas.openxmlformats.org/officeDocument/2006/relationships" name="Stories" sheetId="4" r:id="R484e0f6be2104b96"/>
    <x:sheet xmlns:r="http://schemas.openxmlformats.org/officeDocument/2006/relationships" name="Résultats" sheetId="5" r:id="R03be80d1737640b0"/>
    <x:sheet xmlns:r="http://schemas.openxmlformats.org/officeDocument/2006/relationships" name="Sources" sheetId="6" r:id="R1979efc0e87246c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dd/mm/yyyy"/>
    <x:numFmt numFmtId="201" formatCode="hh:mm"/>
    <x:numFmt numFmtId="202" formatCode="0"/>
    <x:numFmt numFmtId="203" formatCode="0.0%"/>
  </x:numFmts>
  <x:fonts count="6">
    <x:font>
      <x:sz val="11"/>
      <x:name val="Carlito"/>
    </x:font>
    <x:font>
      <x:sz val="11"/>
      <x:color rgb="FF182C3A"/>
      <x:name val="Arial"/>
    </x:font>
    <x:font>
      <x:b/>
      <x:sz val="17"/>
      <x:color rgb="FF182C3A"/>
      <x:name val="Arial"/>
    </x:font>
    <x:font>
      <x:sz val="10"/>
      <x:color rgb="FF56636C"/>
      <x:name val="Arial"/>
    </x:font>
    <x:font>
      <x:b/>
      <x:sz val="11"/>
      <x:color rgb="FFFFFFFF"/>
      <x:name val="Arial"/>
    </x:font>
    <x:font>
      <x:b/>
      <x:sz val="11"/>
      <x:name val="Carlito"/>
    </x:font>
  </x:fonts>
  <x:fills count="5">
    <x:fill>
      <x:patternFill patternType="none"/>
    </x:fill>
    <x:fill>
      <x:patternFill patternType="gray125"/>
    </x:fill>
    <x:fill>
      <x:patternFill patternType="solid">
        <x:fgColor rgb="FF182C3A"/>
      </x:patternFill>
    </x:fill>
    <x:fill>
      <x:patternFill patternType="solid">
        <x:fgColor rgb="FFF5F2EA"/>
      </x:patternFill>
    </x:fill>
    <x:fill>
      <x:patternFill patternType="solid">
        <x:fgColor rgb="FFFFF0CF"/>
      </x:patternFill>
    </x:fill>
  </x:fills>
  <x:borders count="1">
    <x:border/>
  </x:borders>
  <x:cellStyleXfs count="1">
    <x:xf numFmtId="0" fontId="0" fillId="0" borderId="0"/>
  </x:cellStyleXfs>
  <x:cellXfs count="24">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vertic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1" fillId="0" borderId="0" xfId="0" applyNumberFormat="1" applyFont="1" applyFill="1" applyBorder="1"/>
    <x:xf numFmtId="200" fontId="1" fillId="4" borderId="0" xfId="0" applyNumberFormat="1" applyFont="1" applyFill="1" applyBorder="1"/>
    <x:xf numFmtId="200" fontId="1" fillId="0"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0" fontId="5" fillId="0" borderId="0" xfId="0" applyNumberFormat="1" applyFont="1" applyFill="1" applyBorder="1"/>
    <x:xf numFmtId="201" fontId="1" fillId="0"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2" fontId="1" fillId="3" borderId="0" xfId="0" applyNumberFormat="1" applyFont="1" applyFill="1" applyBorder="1" applyAlignment="1">
      <x:alignment vertical="top" wrapText="1"/>
    </x:xf>
    <x:xf numFmtId="203" fontId="1" fillId="0" borderId="0" xfId="0" applyNumberFormat="1" applyFont="1" applyFill="1" applyBorder="1" applyAlignment="1">
      <x:alignment vertical="top" wrapText="1"/>
    </x:xf>
    <x:xf numFmtId="203" fontId="1" fillId="3"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202" fontId="1"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6cabbef2f5d4f89" /><Relationship Type="http://schemas.openxmlformats.org/officeDocument/2006/relationships/theme" Target="/xl/theme/theme1.xml" Id="R41fa99ee8e3840f3" /><Relationship Type="http://schemas.openxmlformats.org/officeDocument/2006/relationships/sharedStrings" Target="/xl/sharedStrings.xml" Id="R5972a44d787441bf" /><Relationship Type="http://schemas.openxmlformats.org/officeDocument/2006/relationships/worksheet" Target="/xl/worksheets/sheet1.xml" Id="R1bcfb7e1da914927" /><Relationship Type="http://schemas.openxmlformats.org/officeDocument/2006/relationships/worksheet" Target="/xl/worksheets/sheet2.xml" Id="Rfc439ce819c4482f" /><Relationship Type="http://schemas.openxmlformats.org/officeDocument/2006/relationships/worksheet" Target="/xl/worksheets/sheet3.xml" Id="R5d83112c392f461e" /><Relationship Type="http://schemas.openxmlformats.org/officeDocument/2006/relationships/worksheet" Target="/xl/worksheets/sheet4.xml" Id="R484e0f6be2104b96" /><Relationship Type="http://schemas.openxmlformats.org/officeDocument/2006/relationships/worksheet" Target="/xl/worksheets/sheet5.xml" Id="R03be80d1737640b0" /><Relationship Type="http://schemas.openxmlformats.org/officeDocument/2006/relationships/worksheet" Target="/xl/worksheets/sheet6.xml" Id="R1979efc0e87246c5" /></Relationships>
</file>

<file path=xl/tables/table1.xml><?xml version="1.0" encoding="utf-8"?>
<x:table xmlns:x="http://schemas.openxmlformats.org/spreadsheetml/2006/main" id="1" name="TblCalendrier" displayName="TblCalendrier" ref="A7:H21" headerRowCount="1" totalsRowCount="0" totalsRowShown="0">
  <x:autoFilter ref="A7:H21"/>
  <x:tableColumns count="8">
    <x:tableColumn id="1" name="Jour"/>
    <x:tableColumn id="2" name="Date"/>
    <x:tableColumn id="3" name="Jour de semaine"/>
    <x:tableColumn id="4" name="ID"/>
    <x:tableColumn id="5" name="Sujet"/>
    <x:tableColumn id="6" name="Publications"/>
    <x:tableColumn id="7" name="Stories IG / FB"/>
    <x:tableColumn id="8" name="Catégorie"/>
  </x:tableColumns>
  <x:tableStyleInfo name="TableStyleMedium2" showFirstColumn="0" showLastColumn="0" showRowStripes="1" showColumnStripes="0"/>
</x:table>
</file>

<file path=xl/tables/table2.xml><?xml version="1.0" encoding="utf-8"?>
<x:table xmlns:x="http://schemas.openxmlformats.org/spreadsheetml/2006/main" id="2" name="TblPublications" displayName="TblPublications" ref="A4:R36" headerRowCount="1" totalsRowCount="0" totalsRowShown="0">
  <x:autoFilter ref="A4:R36"/>
  <x:tableColumns count="18">
    <x:tableColumn id="1" name="Jour"/>
    <x:tableColumn id="2" name="Date"/>
    <x:tableColumn id="3" name="Heure Tunis"/>
    <x:tableColumn id="4" name="Plateforme"/>
    <x:tableColumn id="5" name="ID"/>
    <x:tableColumn id="6" name="Format"/>
    <x:tableColumn id="7" name="Sujet"/>
    <x:tableColumn id="8" name="Langue"/>
    <x:tableColumn id="9" name="Hook"/>
    <x:tableColumn id="10" name="Script ou texte"/>
    <x:tableColumn id="11" name="Caption"/>
    <x:tableColumn id="12" name="Hashtags"/>
    <x:tableColumn id="13" name="CTA"/>
    <x:tableColumn id="14" name="Visuel nécessaire"/>
    <x:tableColumn id="15" name="Statut"/>
    <x:tableColumn id="16" name="Catégorie"/>
    <x:tableColumn id="17" name="Sources officielles"/>
    <x:tableColumn id="18" name="Vérification"/>
  </x:tableColumns>
  <x:tableStyleInfo name="TableStyleMedium2" showFirstColumn="0" showLastColumn="0" showRowStripes="1" showColumnStripes="0"/>
</x:table>
</file>

<file path=xl/tables/table3.xml><?xml version="1.0" encoding="utf-8"?>
<x:table xmlns:x="http://schemas.openxmlformats.org/spreadsheetml/2006/main" id="3" name="TblTextes" displayName="TblTextes" ref="A4:H46" headerRowCount="1" totalsRowCount="0" totalsRowShown="0">
  <x:autoFilter ref="A4:H46"/>
  <x:tableColumns count="8">
    <x:tableColumn id="1" name="ID"/>
    <x:tableColumn id="2" name="Format"/>
    <x:tableColumn id="3" name="Segment / durée"/>
    <x:tableColumn id="4" name="Texte intégral"/>
    <x:tableColumn id="5" name="Texte écran"/>
    <x:tableColumn id="6" name="Montage / visuel"/>
    <x:tableColumn id="7" name="Points à vérifier"/>
    <x:tableColumn id="8" name="Sources officielles"/>
  </x:tableColumns>
  <x:tableStyleInfo name="TableStyleMedium2" showFirstColumn="0" showLastColumn="0" showRowStripes="1" showColumnStripes="0"/>
</x:table>
</file>

<file path=xl/tables/table4.xml><?xml version="1.0" encoding="utf-8"?>
<x:table xmlns:x="http://schemas.openxmlformats.org/spreadsheetml/2006/main" id="4" name="TblStories" displayName="TblStories" ref="A4:R20" headerRowCount="1" totalsRowCount="0" totalsRowShown="0">
  <x:autoFilter ref="A4:R20"/>
  <x:tableColumns count="18">
    <x:tableColumn id="1" name="Jour"/>
    <x:tableColumn id="2" name="Date"/>
    <x:tableColumn id="3" name="Heure Tunis"/>
    <x:tableColumn id="4" name="ID"/>
    <x:tableColumn id="5" name="Plateforme"/>
    <x:tableColumn id="6" name="Format"/>
    <x:tableColumn id="7" name="Hook / sujet"/>
    <x:tableColumn id="8" name="Langue"/>
    <x:tableColumn id="9" name="Texte écran"/>
    <x:tableColumn id="10" name="Précision Instagram"/>
    <x:tableColumn id="11" name="Adaptation Facebook"/>
    <x:tableColumn id="12" name="Hashtags"/>
    <x:tableColumn id="13" name="CTA"/>
    <x:tableColumn id="14" name="Visuel nécessaire"/>
    <x:tableColumn id="15" name="Statut"/>
    <x:tableColumn id="16" name="Catégorie"/>
    <x:tableColumn id="17" name="Variante avant ouverture"/>
    <x:tableColumn id="18" name="Sources officielles"/>
  </x:tableColumns>
  <x:tableStyleInfo name="TableStyleMedium2" showFirstColumn="0" showLastColumn="0" showRowStripes="1" showColumnStripes="0"/>
</x:table>
</file>

<file path=xl/tables/table5.xml><?xml version="1.0" encoding="utf-8"?>
<x:table xmlns:x="http://schemas.openxmlformats.org/spreadsheetml/2006/main" id="5" name="TblResultats" displayName="TblResultats" ref="A4:S68" headerRowCount="1" totalsRowCount="0" totalsRowShown="0">
  <x:autoFilter ref="A4:S68"/>
  <x:tableColumns count="19">
    <x:tableColumn id="1" name="Jour"/>
    <x:tableColumn id="2" name="Date prévue"/>
    <x:tableColumn id="3" name="ID"/>
    <x:tableColumn id="4" name="Plateforme"/>
    <x:tableColumn id="5" name="Date du relevé"/>
    <x:tableColumn id="6" name="Âge (heures)"/>
    <x:tableColumn id="7" name="Vues"/>
    <x:tableColumn id="8" name="Portée"/>
    <x:tableColumn id="9" name="Abonnés gagnés"/>
    <x:tableColumn id="10" name="Sauvegardes"/>
    <x:tableColumn id="11" name="Partages"/>
    <x:tableColumn id="12" name="Commentaires"/>
    <x:tableColumn id="13" name="Clics contact"/>
    <x:tableColumn id="14" name="Messages sociaux"/>
    <x:tableColumn id="15" name="Contacts WhatsApp"/>
    <x:tableColumn id="16" name="Sauvegardes / portée"/>
    <x:tableColumn id="17" name="Partages / portée"/>
    <x:tableColumn id="18" name="Apprentissage"/>
    <x:tableColumn id="19" name="Action suivante"/>
  </x:tableColumns>
  <x:tableStyleInfo name="TableStyleMedium2" showFirstColumn="0" showLastColumn="0" showRowStripes="1" showColumnStripes="0"/>
</x:table>
</file>

<file path=xl/tables/table6.xml><?xml version="1.0" encoding="utf-8"?>
<x:table xmlns:x="http://schemas.openxmlformats.org/spreadsheetml/2006/main" id="6" name="TblSources" displayName="TblSources" ref="A4:G16" headerRowCount="1" totalsRowCount="0" totalsRowShown="0">
  <x:autoFilter ref="A4:G16"/>
  <x:tableColumns count="7">
    <x:tableColumn id="1" name="Référence"/>
    <x:tableColumn id="2" name="Sujet"/>
    <x:tableColumn id="3" name="Formulation prudente"/>
    <x:tableColumn id="4" name="URL officielle"/>
    <x:tableColumn id="5" name="Consultation"/>
    <x:tableColumn id="6" name="Date affichée / contexte"/>
    <x:tableColumn id="7" name="Limi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5ec2da2266646be" /></Relationships>
</file>

<file path=xl/worksheets/_rels/sheet2.xml.rels>&#65279;<?xml version="1.0" encoding="utf-8"?><Relationships xmlns="http://schemas.openxmlformats.org/package/2006/relationships"><Relationship Type="http://schemas.openxmlformats.org/officeDocument/2006/relationships/table" Target="/xl/tables/table2.xml" Id="R1a84de57914c462f" /></Relationships>
</file>

<file path=xl/worksheets/_rels/sheet3.xml.rels>&#65279;<?xml version="1.0" encoding="utf-8"?><Relationships xmlns="http://schemas.openxmlformats.org/package/2006/relationships"><Relationship Type="http://schemas.openxmlformats.org/officeDocument/2006/relationships/table" Target="/xl/tables/table3.xml" Id="Rb6440518608d4241" /></Relationships>
</file>

<file path=xl/worksheets/_rels/sheet4.xml.rels>&#65279;<?xml version="1.0" encoding="utf-8"?><Relationships xmlns="http://schemas.openxmlformats.org/package/2006/relationships"><Relationship Type="http://schemas.openxmlformats.org/officeDocument/2006/relationships/table" Target="/xl/tables/table4.xml" Id="Rdf80369d3e9f4442" /></Relationships>
</file>

<file path=xl/worksheets/_rels/sheet5.xml.rels>&#65279;<?xml version="1.0" encoding="utf-8"?><Relationships xmlns="http://schemas.openxmlformats.org/package/2006/relationships"><Relationship Type="http://schemas.openxmlformats.org/officeDocument/2006/relationships/table" Target="/xl/tables/table5.xml" Id="R02a59c6db7114797" /></Relationships>
</file>

<file path=xl/worksheets/_rels/sheet6.xml.rels>&#65279;<?xml version="1.0" encoding="utf-8"?><Relationships xmlns="http://schemas.openxmlformats.org/package/2006/relationships"><Relationship Type="http://schemas.openxmlformats.org/officeDocument/2006/relationships/table" Target="/xl/tables/table6.xml" Id="R3debe289a5024443" /></Relationships>
</file>

<file path=xl/worksheets/sheet1.xml><?xml version="1.0" encoding="utf-8"?>
<x:worksheet xmlns:x="http://schemas.openxmlformats.org/spreadsheetml/2006/main">
  <x:sheetPr>
    <x:tabColor rgb="FF176B5B"/>
  </x:sheetPr>
  <x:sheetViews>
    <x:sheetView showGridLines="0" workbookViewId="0">
      <x:pane ySplit="7" topLeftCell="A8" activePane="bottomLeft" state="frozen"/>
    </x:sheetView>
  </x:sheetViews>
  <x:sheetFormatPr defaultRowHeight="15"/>
  <x:cols>
    <x:col min="1" max="1" width="8" hidden="0" customWidth="1"/>
    <x:col min="2" max="2" width="14.380000114440918" hidden="0" customWidth="1"/>
    <x:col min="3" max="3" width="16.25" hidden="0" customWidth="1"/>
    <x:col min="4" max="4" width="8.130000114440918" hidden="0" customWidth="1"/>
    <x:col min="5" max="5" width="51.25" hidden="0" customWidth="1"/>
    <x:col min="6" max="6" width="36.880001068115234" hidden="0" customWidth="1"/>
    <x:col min="7" max="7" width="22.5" hidden="0" customWidth="1"/>
    <x:col min="8" max="8" width="15.630000114440918" hidden="0" customWidth="1"/>
  </x:cols>
  <x:sheetData>
    <x:row r="1" ht="28" customHeight="1">
      <x:c r="A1" s="2" t="str">
        <x:v>AlmaGo — 14 jours de lancement</x:v>
      </x:c>
      <x:c r="B1" s="1"/>
      <x:c r="C1" s="1"/>
      <x:c r="D1" s="1"/>
      <x:c r="E1" s="1"/>
      <x:c r="F1" s="1"/>
      <x:c r="G1" s="1"/>
      <x:c r="H1" s="1"/>
    </x:row>
    <x:row r="2">
      <x:c r="A2" s="3" t="str">
        <x:v>Heure de Tunis. Créneaux à tester. Date de départ modifiable en B4.</x:v>
      </x:c>
      <x:c r="B2" s="1"/>
      <x:c r="C2" s="1"/>
      <x:c r="D2" s="1"/>
      <x:c r="E2" s="1"/>
      <x:c r="F2" s="1"/>
      <x:c r="G2" s="1"/>
      <x:c r="H2" s="1"/>
    </x:row>
    <x:row r="3">
      <x:c r="A3" s="1"/>
      <x:c r="B3" s="1"/>
      <x:c r="C3" s="1"/>
      <x:c r="D3" s="1"/>
      <x:c r="E3" s="1"/>
      <x:c r="F3" s="1"/>
      <x:c r="G3" s="1"/>
      <x:c r="H3" s="1"/>
    </x:row>
    <x:row r="4">
      <x:c r="A4" s="1" t="str">
        <x:v>Début</x:v>
      </x:c>
      <x:c r="B4" s="12" t="n">
        <x:v>46293</x:v>
      </x:c>
      <x:c r="C4" s="1"/>
      <x:c r="D4" s="1" t="str">
        <x:v>Date proposée : confirmer avant programmation.</x:v>
      </x:c>
      <x:c r="E4" s="1"/>
      <x:c r="F4" s="1"/>
      <x:c r="G4" s="1"/>
      <x:c r="H4" s="1"/>
    </x:row>
    <x:row r="5">
      <x:c r="A5" s="1" t="str">
        <x:v>Chaque semaine : 4 vidéos, 3 carrousels, 8 stories. Aucun contenu publié ou programmé.</x:v>
      </x:c>
      <x:c r="B5" s="1"/>
      <x:c r="C5" s="1"/>
      <x:c r="D5" s="1"/>
      <x:c r="E5" s="1"/>
      <x:c r="F5" s="1"/>
      <x:c r="G5" s="1"/>
      <x:c r="H5" s="1"/>
    </x:row>
    <x:row r="6">
      <x:c r="A6" s="1"/>
      <x:c r="B6" s="1"/>
      <x:c r="C6" s="1"/>
      <x:c r="D6" s="1"/>
      <x:c r="E6" s="1"/>
      <x:c r="F6" s="1"/>
      <x:c r="G6" s="1"/>
      <x:c r="H6" s="1"/>
    </x:row>
    <x:row r="7" ht="36" customHeight="1">
      <x:c r="A7" s="7" t="str">
        <x:v>Jour</x:v>
      </x:c>
      <x:c r="B7" s="7" t="str">
        <x:v>Date</x:v>
      </x:c>
      <x:c r="C7" s="7" t="str">
        <x:v>Jour de semaine</x:v>
      </x:c>
      <x:c r="D7" s="7" t="str">
        <x:v>ID</x:v>
      </x:c>
      <x:c r="E7" s="7" t="str">
        <x:v>Sujet</x:v>
      </x:c>
      <x:c r="F7" s="7" t="str">
        <x:v>Publications</x:v>
      </x:c>
      <x:c r="G7" s="7" t="str">
        <x:v>Stories IG / FB</x:v>
      </x:c>
      <x:c r="H7" s="7" t="str">
        <x:v>Catégorie</x:v>
      </x:c>
    </x:row>
    <x:row r="8" ht="56" customHeight="1">
      <x:c r="A8" s="9" t="n">
        <x:v>1</x:v>
      </x:c>
      <x:c r="B8" s="13" t="n">
        <x:f>$B$4+A8-1</x:f>
        <x:v>46293</x:v>
      </x:c>
      <x:c r="C8" s="9" t="str">
        <x:v>Lundi</x:v>
      </x:c>
      <x:c r="D8" s="9" t="str">
        <x:v>V01</x:v>
      </x:c>
      <x:c r="E8" s="9" t="str">
        <x:v>Commence par ton profil</x:v>
      </x:c>
      <x:c r="F8" s="9" t="str">
        <x:v>IG 19:00 / TikTok 20:30</x:v>
      </x:c>
      <x:c r="G8" s="9" t="str">
        <x:v>ST01 12:30
ST02 18:00</x:v>
      </x:c>
      <x:c r="H8" s="9" t="str">
        <x:v>Éducatif</x:v>
      </x:c>
    </x:row>
    <x:row r="9" ht="56" customHeight="1">
      <x:c r="A9" s="10" t="n">
        <x:v>2</x:v>
      </x:c>
      <x:c r="B9" s="14" t="n">
        <x:f>$B$4+A9-1</x:f>
        <x:v>46294</x:v>
      </x:c>
      <x:c r="C9" s="10" t="str">
        <x:v>Mardi</x:v>
      </x:c>
      <x:c r="D9" s="10" t="str">
        <x:v>C01</x:v>
      </x:c>
      <x:c r="E9" s="10" t="str">
        <x:v>Ton projet commence ici</x:v>
      </x:c>
      <x:c r="F9" s="10" t="str">
        <x:v>IG 19:00 / FB 18:30</x:v>
      </x:c>
      <x:c r="G9" s="10" t="str">
        <x:v>ST03 12:30</x:v>
      </x:c>
      <x:c r="H9" s="10" t="str">
        <x:v>Éducatif</x:v>
      </x:c>
    </x:row>
    <x:row r="10" ht="56" customHeight="1">
      <x:c r="A10" s="9" t="n">
        <x:v>3</x:v>
      </x:c>
      <x:c r="B10" s="13" t="n">
        <x:f>$B$4+A10-1</x:f>
        <x:v>46295</x:v>
      </x:c>
      <x:c r="C10" s="9" t="str">
        <x:v>Mercredi</x:v>
      </x:c>
      <x:c r="D10" s="9" t="str">
        <x:v>V02</x:v>
      </x:c>
      <x:c r="E10" s="9" t="str">
        <x:v>La langue : vérifie le programme, puis le certificat</x:v>
      </x:c>
      <x:c r="F10" s="9" t="str">
        <x:v>IG 19:00 / TikTok 20:30</x:v>
      </x:c>
      <x:c r="G10" s="9" t="str">
        <x:v>ST04 12:30</x:v>
      </x:c>
      <x:c r="H10" s="9" t="str">
        <x:v>Éducatif</x:v>
      </x:c>
    </x:row>
    <x:row r="11" ht="56" customHeight="1">
      <x:c r="A11" s="10" t="n">
        <x:v>4</x:v>
      </x:c>
      <x:c r="B11" s="14" t="n">
        <x:f>$B$4+A11-1</x:f>
        <x:v>46296</x:v>
      </x:c>
      <x:c r="C11" s="10" t="str">
        <x:v>Jeudi</x:v>
      </x:c>
      <x:c r="D11" s="10" t="str">
        <x:v>C02</x:v>
      </x:c>
      <x:c r="E11" s="10" t="str">
        <x:v>Dossier : une base, pas une liste universelle</x:v>
      </x:c>
      <x:c r="F11" s="10" t="str">
        <x:v>IG 19:00 / FB 18:30</x:v>
      </x:c>
      <x:c r="G11" s="10" t="str">
        <x:v>ST05 18:00</x:v>
      </x:c>
      <x:c r="H11" s="10" t="str">
        <x:v>Éducatif</x:v>
      </x:c>
    </x:row>
    <x:row r="12" ht="56" customHeight="1">
      <x:c r="A12" s="9" t="n">
        <x:v>5</x:v>
      </x:c>
      <x:c r="B12" s="13" t="n">
        <x:f>$B$4+A12-1</x:f>
        <x:v>46297</x:v>
      </x:c>
      <x:c r="C12" s="9" t="str">
        <x:v>Vendredi</x:v>
      </x:c>
      <x:c r="D12" s="9" t="str">
        <x:v>V03</x:v>
      </x:c>
      <x:c r="E12" s="9" t="str">
        <x:v>Une admission garantit-elle le visa ?</x:v>
      </x:c>
      <x:c r="F12" s="9" t="str">
        <x:v>IG 19:00 / TikTok 20:30 / FB 18:30</x:v>
      </x:c>
      <x:c r="G12" s="9" t="str">
        <x:v>ST06 12:30</x:v>
      </x:c>
      <x:c r="H12" s="9" t="str">
        <x:v>Éducatif</x:v>
      </x:c>
    </x:row>
    <x:row r="13" ht="56" customHeight="1">
      <x:c r="A13" s="10" t="n">
        <x:v>6</x:v>
      </x:c>
      <x:c r="B13" s="14" t="n">
        <x:f>$B$4+A13-1</x:f>
        <x:v>46298</x:v>
      </x:c>
      <x:c r="C13" s="10" t="str">
        <x:v>Samedi</x:v>
      </x:c>
      <x:c r="D13" s="10" t="str">
        <x:v>C03</x:v>
      </x:c>
      <x:c r="E13" s="10" t="str">
        <x:v>L'accompagnement qu'AlmaGo prépare, qui décide quoi</x:v>
      </x:c>
      <x:c r="F13" s="10" t="str">
        <x:v>IG 19:00 / FB 18:30</x:v>
      </x:c>
      <x:c r="G13" s="10" t="str">
        <x:v>ST07 12:30</x:v>
      </x:c>
      <x:c r="H13" s="10" t="str">
        <x:v>Confiance</x:v>
      </x:c>
    </x:row>
    <x:row r="14" ht="56" customHeight="1">
      <x:c r="A14" s="9" t="n">
        <x:v>7</x:v>
      </x:c>
      <x:c r="B14" s="13" t="n">
        <x:f>$B$4+A14-1</x:f>
        <x:v>46299</x:v>
      </x:c>
      <x:c r="C14" s="9" t="str">
        <x:v>Dimanche</x:v>
      </x:c>
      <x:c r="D14" s="9" t="str">
        <x:v>V04</x:v>
      </x:c>
      <x:c r="E14" s="9" t="str">
        <x:v>La méthode qu’AlmaGo prépare</x:v>
      </x:c>
      <x:c r="F14" s="9" t="str">
        <x:v>IG 19:00 / TikTok 20:30 / FB 18:30</x:v>
      </x:c>
      <x:c r="G14" s="9" t="str">
        <x:v>ST08 18:00</x:v>
      </x:c>
      <x:c r="H14" s="9" t="str">
        <x:v>Confiance</x:v>
      </x:c>
    </x:row>
    <x:row r="15" ht="56" customHeight="1">
      <x:c r="A15" s="10" t="n">
        <x:v>8</x:v>
      </x:c>
      <x:c r="B15" s="14" t="n">
        <x:f>$B$4+A15-1</x:f>
        <x:v>46300</x:v>
      </x:c>
      <x:c r="C15" s="10" t="str">
        <x:v>Lundi</x:v>
      </x:c>
      <x:c r="D15" s="10" t="str">
        <x:v>V05</x:v>
      </x:c>
      <x:c r="E15" s="10" t="str">
        <x:v>Candidature directe, uni-assist ou VPD ?</x:v>
      </x:c>
      <x:c r="F15" s="10" t="str">
        <x:v>IG 19:00 / TikTok 20:30</x:v>
      </x:c>
      <x:c r="G15" s="10" t="str">
        <x:v>ST09 12:30
ST10 18:00</x:v>
      </x:c>
      <x:c r="H15" s="10" t="str">
        <x:v>Éducatif</x:v>
      </x:c>
    </x:row>
    <x:row r="16" ht="56" customHeight="1">
      <x:c r="A16" s="9" t="n">
        <x:v>9</x:v>
      </x:c>
      <x:c r="B16" s="13" t="n">
        <x:f>$B$4+A16-1</x:f>
        <x:v>46301</x:v>
      </x:c>
      <x:c r="C16" s="9" t="str">
        <x:v>Mardi</x:v>
      </x:c>
      <x:c r="D16" s="9" t="str">
        <x:v>C04</x:v>
      </x:c>
      <x:c r="E16" s="9" t="str">
        <x:v>Studienkolleg : une étape à vérifier</x:v>
      </x:c>
      <x:c r="F16" s="9" t="str">
        <x:v>IG 19:00 / FB 18:30</x:v>
      </x:c>
      <x:c r="G16" s="9" t="str">
        <x:v>ST11 12:30</x:v>
      </x:c>
      <x:c r="H16" s="9" t="str">
        <x:v>Éducatif</x:v>
      </x:c>
    </x:row>
    <x:row r="17" ht="56" customHeight="1">
      <x:c r="A17" s="10" t="n">
        <x:v>10</x:v>
      </x:c>
      <x:c r="B17" s="14" t="n">
        <x:f>$B$4+A17-1</x:f>
        <x:v>46302</x:v>
      </x:c>
      <x:c r="C17" s="10" t="str">
        <x:v>Mercredi</x:v>
      </x:c>
      <x:c r="D17" s="10" t="str">
        <x:v>V06</x:v>
      </x:c>
      <x:c r="E17" s="10" t="str">
        <x:v>Le budget : penser par postes</x:v>
      </x:c>
      <x:c r="F17" s="10" t="str">
        <x:v>IG 19:00 / TikTok 20:30 / FB 18:30</x:v>
      </x:c>
      <x:c r="G17" s="10" t="str">
        <x:v>ST12 12:30</x:v>
      </x:c>
      <x:c r="H17" s="10" t="str">
        <x:v>Éducatif</x:v>
      </x:c>
    </x:row>
    <x:row r="18" ht="56" customHeight="1">
      <x:c r="A18" s="9" t="n">
        <x:v>11</x:v>
      </x:c>
      <x:c r="B18" s="13" t="n">
        <x:f>$B$4+A18-1</x:f>
        <x:v>46303</x:v>
      </x:c>
      <x:c r="C18" s="9" t="str">
        <x:v>Jeudi</x:v>
      </x:c>
      <x:c r="D18" s="9" t="str">
        <x:v>C05</x:v>
      </x:c>
      <x:c r="E18" s="9" t="str">
        <x:v>Budget : pense aussi à l'installation</x:v>
      </x:c>
      <x:c r="F18" s="9" t="str">
        <x:v>IG 19:00 / FB 18:30</x:v>
      </x:c>
      <x:c r="G18" s="9" t="str">
        <x:v>ST13 12:30</x:v>
      </x:c>
      <x:c r="H18" s="9" t="str">
        <x:v>Éducatif</x:v>
      </x:c>
    </x:row>
    <x:row r="19" ht="56" customHeight="1">
      <x:c r="A19" s="10" t="n">
        <x:v>12</x:v>
      </x:c>
      <x:c r="B19" s="14" t="n">
        <x:f>$B$4+A19-1</x:f>
        <x:v>46304</x:v>
      </x:c>
      <x:c r="C19" s="10" t="str">
        <x:v>Vendredi</x:v>
      </x:c>
      <x:c r="D19" s="10" t="str">
        <x:v>V07</x:v>
      </x:c>
      <x:c r="E19" s="10" t="str">
        <x:v>Le calendrier : trois erreurs évitables</x:v>
      </x:c>
      <x:c r="F19" s="10" t="str">
        <x:v>IG 19:00 / TikTok 20:30</x:v>
      </x:c>
      <x:c r="G19" s="10" t="str">
        <x:v>ST14 12:30</x:v>
      </x:c>
      <x:c r="H19" s="10" t="str">
        <x:v>Éducatif</x:v>
      </x:c>
    </x:row>
    <x:row r="20" ht="56" customHeight="1">
      <x:c r="A20" s="9" t="n">
        <x:v>13</x:v>
      </x:c>
      <x:c r="B20" s="13" t="n">
        <x:f>$B$4+A20-1</x:f>
        <x:v>46305</x:v>
      </x:c>
      <x:c r="C20" s="9" t="str">
        <x:v>Samedi</x:v>
      </x:c>
      <x:c r="D20" s="9" t="str">
        <x:v>C06</x:v>
      </x:c>
      <x:c r="E20" s="9" t="str">
        <x:v>Parents et étudiants : parlons du projet ensemble</x:v>
      </x:c>
      <x:c r="F20" s="9" t="str">
        <x:v>IG 19:00 / FB 18:30</x:v>
      </x:c>
      <x:c r="G20" s="9" t="str">
        <x:v>ST15 18:00</x:v>
      </x:c>
      <x:c r="H20" s="9" t="str">
        <x:v>Confiance</x:v>
      </x:c>
    </x:row>
    <x:row r="21" ht="56" customHeight="1">
      <x:c r="A21" s="10" t="n">
        <x:v>14</x:v>
      </x:c>
      <x:c r="B21" s="14" t="n">
        <x:f>$B$4+A21-1</x:f>
        <x:v>46306</x:v>
      </x:c>
      <x:c r="C21" s="10" t="str">
        <x:v>Dimanche</x:v>
      </x:c>
      <x:c r="D21" s="10" t="str">
        <x:v>V08</x:v>
      </x:c>
      <x:c r="E21" s="10" t="str">
        <x:v>Peut-on étudier en anglais ?</x:v>
      </x:c>
      <x:c r="F21" s="10" t="str">
        <x:v>IG 19:00 / TikTok 20:30 / FB 18:30</x:v>
      </x:c>
      <x:c r="G21" s="10" t="str">
        <x:v>ST16 18:00</x:v>
      </x:c>
      <x:c r="H21" s="10" t="str">
        <x:v>Éducatif</x:v>
      </x:c>
    </x:row>
    <x:row r="24">
      <x:c r="A24" s="15" t="str">
        <x:v>Utilisation</x:v>
      </x:c>
    </x:row>
    <x:row r="25">
      <x:c r="A25" t="str">
        <x:v>Publications : une ligne par plateforme, textes de légende et briefs. Textes : scripts complets et chaque slide.</x:v>
      </x:c>
    </x:row>
    <x:row r="26">
      <x:c r="A26" t="str">
        <x:v>Statuts : texte préparé, à produire, à valider, programmé, publié. Le statut initial ne signifie pas prêt à diffuser.</x:v>
      </x:c>
    </x:row>
    <x:row r="27">
      <x:c r="A27" t="str">
        <x:v>Stories : 16 écrans. Les 3 CTA WhatsApp demandent un contact et une offre confirmés ; variante de pré-lancement incluse.</x:v>
      </x:c>
    </x:row>
    <x:row r="28">
      <x:c r="A28" t="str">
        <x:v>Résultats : saisir uniquement les mesures réelles à âge comparable. Vide = non disponible ; zéro = mesure nulle.</x:v>
      </x:c>
    </x:row>
    <x:row r="29">
      <x:c r="A29" t="str">
        <x:v>WhatsApp : le propriétaire transmet les totaux et origines déclarées. Aucune conversation ni donnée personnelle ici.</x:v>
      </x:c>
    </x:row>
    <x:row r="30">
      <x:c r="A30" t="str">
        <x:v>Sources vérifiées le 21/09/2026. Recontrôler les informations sensibles le jour de la publication.</x:v>
      </x:c>
    </x:row>
    <x:row r="31">
      <x:c r="A31" t="str">
        <x:v>30 unités originales : 21 éducatives, 6 confiance, 3 commerciales. Les déclinaisons de plateforme ne doublent pas ce total.</x:v>
      </x:c>
    </x:row>
  </x:sheetData>
  <x:pageMargins left="0.7" right="0.7" top="0.75" bottom="0.75" header="0.3" footer="0.3"/>
  <x:tableParts count="1">
    <x:tablePart xmlns:r="http://schemas.openxmlformats.org/officeDocument/2006/relationships" r:id="Ra5ec2da2266646be"/>
  </x:tableParts>
</x:worksheet>
</file>

<file path=xl/worksheets/sheet2.xml><?xml version="1.0" encoding="utf-8"?>
<x:worksheet xmlns:x="http://schemas.openxmlformats.org/spreadsheetml/2006/main">
  <x:sheetPr>
    <x:tabColor rgb="FF176B5B"/>
  </x:sheetPr>
  <x:sheetViews>
    <x:sheetView showGridLines="0" workbookViewId="0">
      <x:pane ySplit="4" topLeftCell="A5" activePane="bottomLeft" state="frozen"/>
    </x:sheetView>
  </x:sheetViews>
  <x:sheetFormatPr defaultRowHeight="15"/>
  <x:cols>
    <x:col min="1" max="1" width="7.5" hidden="0" customWidth="1"/>
    <x:col min="2" max="2" width="13.75" hidden="0" customWidth="1"/>
    <x:col min="3" max="3" width="11.880000114440918" hidden="0" customWidth="1"/>
    <x:col min="4" max="4" width="13.75" hidden="0" customWidth="1"/>
    <x:col min="5" max="5" width="7.5" hidden="0" customWidth="1"/>
    <x:col min="6" max="6" width="16.8799991607666" hidden="0" customWidth="1"/>
    <x:col min="7" max="7" width="31.25" hidden="0" customWidth="1"/>
    <x:col min="8" max="8" width="15" hidden="0" customWidth="1"/>
    <x:col min="9" max="9" width="40" hidden="0" customWidth="1"/>
    <x:col min="10" max="10" width="55" hidden="0" customWidth="1"/>
    <x:col min="11" max="11" width="95" hidden="0" customWidth="1"/>
    <x:col min="12" max="12" width="28.75" hidden="0" customWidth="1"/>
    <x:col min="13" max="13" width="26.25" hidden="0" customWidth="1"/>
    <x:col min="14" max="14" width="78.75" hidden="0" customWidth="1"/>
    <x:col min="15" max="15" width="23.75" hidden="0" customWidth="1"/>
    <x:col min="16" max="16" width="16.25" hidden="0" customWidth="1"/>
    <x:col min="17" max="17" width="71.25" hidden="0" customWidth="1"/>
    <x:col min="18" max="18" width="26.8799991607666" hidden="0" customWidth="1"/>
  </x:cols>
  <x:sheetData>
    <x:row r="1" ht="28" customHeight="1">
      <x:c r="A1" s="2" t="str">
        <x:v>Publications par plateforme</x:v>
      </x:c>
      <x:c r="B1" s="1"/>
      <x:c r="C1" s="1"/>
      <x:c r="D1" s="1"/>
      <x:c r="E1" s="1"/>
      <x:c r="F1" s="1"/>
      <x:c r="G1" s="1"/>
      <x:c r="H1" s="1"/>
      <x:c r="I1" s="1"/>
      <x:c r="J1" s="1"/>
      <x:c r="K1" s="1"/>
      <x:c r="L1" s="1"/>
      <x:c r="M1" s="1"/>
      <x:c r="N1" s="1"/>
      <x:c r="O1" s="1"/>
      <x:c r="P1" s="1"/>
      <x:c r="Q1" s="1"/>
      <x:c r="R1" s="1"/>
    </x:row>
    <x:row r="2">
      <x:c r="A2" s="3" t="str">
        <x:v>Légendes différenciées. Les textes complets à produire sont regroupés dans Textes.</x:v>
      </x:c>
      <x:c r="B2" s="1"/>
      <x:c r="C2" s="1"/>
      <x:c r="D2" s="1"/>
      <x:c r="E2" s="1"/>
      <x:c r="F2" s="1"/>
      <x:c r="G2" s="1"/>
      <x:c r="H2" s="1"/>
      <x:c r="I2" s="1"/>
      <x:c r="J2" s="1"/>
      <x:c r="K2" s="1"/>
      <x:c r="L2" s="1"/>
      <x:c r="M2" s="1"/>
      <x:c r="N2" s="1"/>
      <x:c r="O2" s="1"/>
      <x:c r="P2" s="1"/>
      <x:c r="Q2" s="1"/>
      <x:c r="R2" s="1"/>
    </x:row>
    <x:row r="3">
      <x:c r="A3" s="1"/>
      <x:c r="B3" s="1"/>
      <x:c r="C3" s="1"/>
      <x:c r="D3" s="1"/>
      <x:c r="E3" s="1"/>
      <x:c r="F3" s="1"/>
      <x:c r="G3" s="1"/>
      <x:c r="H3" s="1"/>
      <x:c r="I3" s="1"/>
      <x:c r="J3" s="1"/>
      <x:c r="K3" s="1"/>
      <x:c r="L3" s="1"/>
      <x:c r="M3" s="1"/>
      <x:c r="N3" s="1"/>
      <x:c r="O3" s="1"/>
      <x:c r="P3" s="1"/>
      <x:c r="Q3" s="1"/>
      <x:c r="R3" s="1"/>
    </x:row>
    <x:row r="4" ht="36" customHeight="1">
      <x:c r="A4" s="7" t="str">
        <x:v>Jour</x:v>
      </x:c>
      <x:c r="B4" s="7" t="str">
        <x:v>Date</x:v>
      </x:c>
      <x:c r="C4" s="7" t="str">
        <x:v>Heure Tunis</x:v>
      </x:c>
      <x:c r="D4" s="7" t="str">
        <x:v>Plateforme</x:v>
      </x:c>
      <x:c r="E4" s="7" t="str">
        <x:v>ID</x:v>
      </x:c>
      <x:c r="F4" s="7" t="str">
        <x:v>Format</x:v>
      </x:c>
      <x:c r="G4" s="7" t="str">
        <x:v>Sujet</x:v>
      </x:c>
      <x:c r="H4" s="7" t="str">
        <x:v>Langue</x:v>
      </x:c>
      <x:c r="I4" s="7" t="str">
        <x:v>Hook</x:v>
      </x:c>
      <x:c r="J4" s="7" t="str">
        <x:v>Script ou texte</x:v>
      </x:c>
      <x:c r="K4" s="7" t="str">
        <x:v>Caption</x:v>
      </x:c>
      <x:c r="L4" s="7" t="str">
        <x:v>Hashtags</x:v>
      </x:c>
      <x:c r="M4" s="7" t="str">
        <x:v>CTA</x:v>
      </x:c>
      <x:c r="N4" s="7" t="str">
        <x:v>Visuel nécessaire</x:v>
      </x:c>
      <x:c r="O4" s="7" t="str">
        <x:v>Statut</x:v>
      </x:c>
      <x:c r="P4" s="7" t="str">
        <x:v>Catégorie</x:v>
      </x:c>
      <x:c r="Q4" s="7" t="str">
        <x:v>Sources officielles</x:v>
      </x:c>
      <x:c r="R4" s="7" t="str">
        <x:v>Vérification</x:v>
      </x:c>
    </x:row>
    <x:row r="5" ht="340" customHeight="1">
      <x:c r="A5" s="9" t="n">
        <x:v>1</x:v>
      </x:c>
      <x:c r="B5" s="13" t="n">
        <x:f>'Calendrier'!$B$4+A5-1</x:f>
        <x:v>46293</x:v>
      </x:c>
      <x:c r="C5" s="16" t="n">
        <x:v>0.7916666666666666</x:v>
      </x:c>
      <x:c r="D5" s="9" t="str">
        <x:v>Instagram</x:v>
      </x:c>
      <x:c r="E5" s="9" t="str">
        <x:v>V01</x:v>
      </x:c>
      <x:c r="F5" s="9" t="str">
        <x:v>Vidéo verticale</x:v>
      </x:c>
      <x:c r="G5" s="9" t="str">
        <x:v>Commence par ton profil</x:v>
      </x:c>
      <x:c r="H5" s="9" t="str">
        <x:v>Français + tunisien</x:v>
      </x:c>
      <x:c r="I5" s="9" t="str">
        <x:v>Étudier en Allemagne : commence par ces quatre questions.</x:v>
      </x:c>
      <x:c r="J5" s="9" t="str">
        <x:v>Voix off intégrale : onglet Textes, V01.
Commence par ton profil</x:v>
      </x:c>
      <x:c r="K5" s="9" t="str">
        <x:v>Ton point de départ : ton parcours, ton objectif, tes langues et tes moyens de préparation. Cette fiche sert à organiser ta recherche ; elle ne confirme pas ton admissibilité. Chaque programme a ses propres conditions. Sauvegarde-la pour préparer ton profil.</x:v>
      </x:c>
      <x:c r="L5" s="9" t="str">
        <x:v>#AlmaGo #EtudierEnAllemagne #EtudiantsTunisiens #ProjetEtudes</x:v>
      </x:c>
      <x:c r="M5" s="9" t="str">
        <x:v>sauvegarder</x:v>
      </x:c>
      <x:c r="N5" s="9" t="str">
        <x:v>3–10 s — Trois cartes se déploient, aucune case précochée.
10–17 s — Un champ fictif « Domaine / niveau visé » se remplit avec des mots génériques.
17–24 s — Deux cartes « Deutsch » et « English », sans niveau minimum affiché.
24–31 s — Icônes portefeuille et calendrier vide.
31–38 s — Les quatre cartes forment une fiche ; fin sur petit logo AlmaGo.</x:v>
      </x:c>
      <x:c r="O5" s="9" t="str">
        <x:v>Texte préparé ; visuel à produire</x:v>
      </x:c>
      <x:c r="P5" s="9" t="str">
        <x:v>Éducatif</x:v>
      </x:c>
      <x:c r="Q5" s="9" t="str">
        <x:v>https://www.daad.de/en/studying-in-germany/requirements/admission-database/</x:v>
      </x:c>
      <x:c r="R5" s="9" t="str">
        <x:v>21/09/2026 ; recontrôler avant diffusion</x:v>
      </x:c>
    </x:row>
    <x:row r="6" ht="340" customHeight="1">
      <x:c r="A6" s="10" t="n">
        <x:v>1</x:v>
      </x:c>
      <x:c r="B6" s="14" t="n">
        <x:f>'Calendrier'!$B$4+A6-1</x:f>
        <x:v>46293</x:v>
      </x:c>
      <x:c r="C6" s="17" t="n">
        <x:v>0.8541666666666666</x:v>
      </x:c>
      <x:c r="D6" s="10" t="str">
        <x:v>TikTok</x:v>
      </x:c>
      <x:c r="E6" s="10" t="str">
        <x:v>V01</x:v>
      </x:c>
      <x:c r="F6" s="10" t="str">
        <x:v>Vidéo verticale</x:v>
      </x:c>
      <x:c r="G6" s="10" t="str">
        <x:v>Commence par ton profil</x:v>
      </x:c>
      <x:c r="H6" s="10" t="str">
        <x:v>Français + tunisien</x:v>
      </x:c>
      <x:c r="I6" s="10" t="str">
        <x:v>تحب تقرى في ألمانيا؟ نبدأو بالبروفيل متاعك.</x:v>
      </x:c>
      <x:c r="J6" s="10" t="str">
        <x:v>Voix off intégrale : onglet Textes, V01.
Commence par ton profil</x:v>
      </x:c>
      <x:c r="K6" s="10" t="str">
        <x:v>باك، طالب وإلا متخرّج؟ البداية تكون بالبروفيل متاعك، وبعد نشوفو شروط البرامج. احفظ الفيديو باش ترجع للأسئلة الأربعة.</x:v>
      </x:c>
      <x:c r="L6" s="10" t="str">
        <x:v>#AlmaGo #قراية_في_ألمانيا #طلبة_تونس #EtudierEnAllemagne</x:v>
      </x:c>
      <x:c r="M6" s="10" t="str">
        <x:v>sauvegarder</x:v>
      </x:c>
      <x:c r="N6" s="10" t="str">
        <x:v>3–10 s — Trois cartes se déploient, aucune case précochée.
10–17 s — Un champ fictif « Domaine / niveau visé » se remplit avec des mots génériques.
17–24 s — Deux cartes « Deutsch » et « English », sans niveau minimum affiché.
24–31 s — Icônes portefeuille et calendrier vide.
31–38 s — Les quatre cartes forment une fiche ; fin sur petit logo AlmaGo.</x:v>
      </x:c>
      <x:c r="O6" s="10" t="str">
        <x:v>Texte préparé ; visuel à produire</x:v>
      </x:c>
      <x:c r="P6" s="10" t="str">
        <x:v>Éducatif</x:v>
      </x:c>
      <x:c r="Q6" s="10" t="str">
        <x:v>https://www.daad.de/en/studying-in-germany/requirements/admission-database/</x:v>
      </x:c>
      <x:c r="R6" s="10" t="str">
        <x:v>21/09/2026 ; recontrôler avant diffusion</x:v>
      </x:c>
    </x:row>
    <x:row r="7" ht="340" customHeight="1">
      <x:c r="A7" s="9" t="n">
        <x:v>2</x:v>
      </x:c>
      <x:c r="B7" s="13" t="n">
        <x:f>'Calendrier'!$B$4+A7-1</x:f>
        <x:v>46294</x:v>
      </x:c>
      <x:c r="C7" s="16" t="n">
        <x:v>0.7916666666666666</x:v>
      </x:c>
      <x:c r="D7" s="9" t="str">
        <x:v>Instagram</x:v>
      </x:c>
      <x:c r="E7" s="9" t="str">
        <x:v>C01</x:v>
      </x:c>
      <x:c r="F7" s="9" t="str">
        <x:v>Carrousel / album</x:v>
      </x:c>
      <x:c r="G7" s="9" t="str">
        <x:v>Ton projet commence ici</x:v>
      </x:c>
      <x:c r="H7" s="9" t="str">
        <x:v>Français + tunisien</x:v>
      </x:c>
      <x:c r="I7" s="9" t="str">
        <x:v>Ton projet commence ici.
Étudier en Allemagne, étape par étape.
تحب تقرى في ألمانيا؟
نبدأو خطوة بخطوة.</x:v>
      </x:c>
      <x:c r="J7" s="9" t="str">
        <x:v>Slide 1
Ton projet commence ici.
Étudier en Allemagne, étape par étape.
تحب تقرى في ألمانيا؟
نبدأو خطوة بخطوة.
Toutes les slides : onglet Textes, C01.</x:v>
      </x:c>
      <x:c r="K7" s="9" t="str">
        <x:v>Tu veux étudier en Allemagne, mais tu ne sais pas par où commencer ? 🇹🇳 → 🇩🇪
Commence par ton projet, puis vérifie l'accès au programme, la langue et la candidature. Pense aussi assez tôt au visa, au budget et au logement : plusieurs préparatifs avancent en parallèle.
موش لازم تعرف كل شيء من أوّل نهار. المهم تبدأ بخطوات واضحة.
Cette feuille de route donne des repères. Pour ton dossier, les exigences officielles du programme et des autorités compétentes font référence.
📌 Sauvegarde ce carrousel pour préparer tes prochaines étapes.
Sources consultées le 21/09/2026 : DAAD — Accès aux études : https://www.daad.de/en/studying-in-germany/requirements/admission-database/ · uni-assist — Langue : https://www.uni-assist.de/en/how-to-apply/assemble-your-documents/language-certificates/ · Ambassade — Visa : https://tunis.diplo.de/tn-fr/service/05-visaeinreise/1672716-1672716.</x:v>
      </x:c>
      <x:c r="L7" s="9" t="str">
        <x:v>#AlmaGo #EtudierEnAllemagne #EtudiantsTunisiens #ProjetEtudes</x:v>
      </x:c>
      <x:c r="M7" s="9" t="str">
        <x:v>sauvegarder / enregistrer.</x:v>
      </x:c>
      <x:c r="N7" s="9" t="str">
        <x:v>Slide 1 : Un tracé entre deux repères « Tunisie » et « Allemagne », logo AlmaGo, aucun drapeau géant.
Slide 2 : Trois cartes : formation, niveau, rentrée.
Slide 3 : Loupe sur une fiche de programme fictive ; champs « parcours » et « critères ».
Slide 4 : Deux onglets « Deutsch » et « English » sans attribuer un niveau universel.
Slide 5 : Trois dossiers fictifs, chacun avec sa propre liste et une case date vide.
Slide 6 : Trois cartes reliées : visa, budget, logement ; pas de tampon « accepté ».
Slide 7 : Chemin récapitulatif et pictogramme de sauvegarde. Pied : « AlmaGo · Étudier en Allemagne, étape par étape. »</x:v>
      </x:c>
      <x:c r="O7" s="9" t="str">
        <x:v>Texte préparé ; visuel à produire</x:v>
      </x:c>
      <x:c r="P7" s="9" t="str">
        <x:v>Éducatif</x:v>
      </x:c>
      <x:c r="Q7" s="9" t="str">
        <x:v>https://tunis.diplo.de/tn-fr/service/05-visaeinreise/1672716-1672716
https://www.make-it-in-germany.com/en/visa-residence/types/studying
https://www.daad.de/en/studying-in-germany/living-in-germany/finances/
https://www.uni-assist.de/en/faqs/get-information/
https://www.uni-assist.de/en/how-to-apply/plan-your-application/vpd/
https://www.uni-assist.de/en/faqs/plan-your-application/
https://www.daad.de/en/studying-in-germany/requirements/admission-database/</x:v>
      </x:c>
      <x:c r="R7" s="9" t="str">
        <x:v>21/09/2026 ; recontrôler avant diffusion</x:v>
      </x:c>
    </x:row>
    <x:row r="8" ht="340" customHeight="1">
      <x:c r="A8" s="10" t="n">
        <x:v>2</x:v>
      </x:c>
      <x:c r="B8" s="14" t="n">
        <x:f>'Calendrier'!$B$4+A8-1</x:f>
        <x:v>46294</x:v>
      </x:c>
      <x:c r="C8" s="17" t="n">
        <x:v>0.7708333333333334</x:v>
      </x:c>
      <x:c r="D8" s="10" t="str">
        <x:v>Facebook</x:v>
      </x:c>
      <x:c r="E8" s="10" t="str">
        <x:v>C01</x:v>
      </x:c>
      <x:c r="F8" s="10" t="str">
        <x:v>Carrousel / album</x:v>
      </x:c>
      <x:c r="G8" s="10" t="str">
        <x:v>Ton projet commence ici</x:v>
      </x:c>
      <x:c r="H8" s="10" t="str">
        <x:v>Français + tunisien</x:v>
      </x:c>
      <x:c r="I8" s="10" t="str">
        <x:v>Ton projet commence ici.
Étudier en Allemagne, étape par étape.
تحب تقرى في ألمانيا؟
نبدأو خطوة بخطوة.</x:v>
      </x:c>
      <x:c r="J8" s="10" t="str">
        <x:v>Slide 1
Ton projet commence ici.
Étudier en Allemagne, étape par étape.
تحب تقرى في ألمانيا؟
نبدأو خطوة بخطوة.
Toutes les slides : onglet Textes, C01.</x:v>
      </x:c>
      <x:c r="K8" s="10" t="str">
        <x:v>Votre enfant envisage des études en Allemagne ? La première étape consiste à comprendre son projet : formation souhaitée, niveau visé et période de départ.
Ce carrousel présente les principaux préparatifs à discuter ensemble. Il faut ensuite consulter les conditions du programme choisi et les informations officielles applicables au visa. La préparation de la langue, du budget et du logement peut commencer en parallèle du travail sur les candidatures.
تحبّوا تفهموا منين تبدأوا مع ولدكم ولا بنتكم؟ هاذم أهمّ المراحل باش تحكيو عليهم مع بعضكم، خطوة بخطوة.
Enregistrez cette publication pour votre prochaine discussion en famille.
Sources consultées le 21/09/2026 : DAAD — Accès aux études : https://www.daad.de/en/studying-in-germany/requirements/admission-database/ · uni-assist — Langue : https://www.uni-assist.de/en/how-to-apply/assemble-your-documents/language-certificates/ · Ambassade — Visa : https://tunis.diplo.de/tn-fr/service/05-visaeinreise/1672716-1672716.</x:v>
      </x:c>
      <x:c r="L8" s="10" t="str">
        <x:v>#AlmaGo #EtudesEnAllemagne #ParentsTunisiens</x:v>
      </x:c>
      <x:c r="M8" s="10" t="str">
        <x:v>sauvegarder / enregistrer.</x:v>
      </x:c>
      <x:c r="N8" s="10" t="str">
        <x:v>Slide 1 : Un tracé entre deux repères « Tunisie » et « Allemagne », logo AlmaGo, aucun drapeau géant.
Slide 2 : Trois cartes : formation, niveau, rentrée.
Slide 3 : Loupe sur une fiche de programme fictive ; champs « parcours » et « critères ».
Slide 4 : Deux onglets « Deutsch » et « English » sans attribuer un niveau universel.
Slide 5 : Trois dossiers fictifs, chacun avec sa propre liste et une case date vide.
Slide 6 : Trois cartes reliées : visa, budget, logement ; pas de tampon « accepté ».
Slide 7 : Chemin récapitulatif et pictogramme de sauvegarde. Pied : « AlmaGo · Étudier en Allemagne, étape par étape. »</x:v>
      </x:c>
      <x:c r="O8" s="10" t="str">
        <x:v>Texte préparé ; visuel à produire</x:v>
      </x:c>
      <x:c r="P8" s="10" t="str">
        <x:v>Éducatif</x:v>
      </x:c>
      <x:c r="Q8" s="10" t="str">
        <x:v>https://tunis.diplo.de/tn-fr/service/05-visaeinreise/1672716-1672716
https://www.make-it-in-germany.com/en/visa-residence/types/studying
https://www.daad.de/en/studying-in-germany/living-in-germany/finances/
https://www.uni-assist.de/en/faqs/get-information/
https://www.uni-assist.de/en/how-to-apply/plan-your-application/vpd/
https://www.uni-assist.de/en/faqs/plan-your-application/
https://www.daad.de/en/studying-in-germany/requirements/admission-database/</x:v>
      </x:c>
      <x:c r="R8" s="10" t="str">
        <x:v>21/09/2026 ; recontrôler avant diffusion</x:v>
      </x:c>
    </x:row>
    <x:row r="9" ht="340" customHeight="1">
      <x:c r="A9" s="9" t="n">
        <x:v>3</x:v>
      </x:c>
      <x:c r="B9" s="13" t="n">
        <x:f>'Calendrier'!$B$4+A9-1</x:f>
        <x:v>46295</x:v>
      </x:c>
      <x:c r="C9" s="16" t="n">
        <x:v>0.7916666666666666</x:v>
      </x:c>
      <x:c r="D9" s="9" t="str">
        <x:v>Instagram</x:v>
      </x:c>
      <x:c r="E9" s="9" t="str">
        <x:v>V02</x:v>
      </x:c>
      <x:c r="F9" s="9" t="str">
        <x:v>Vidéo verticale</x:v>
      </x:c>
      <x:c r="G9" s="9" t="str">
        <x:v>La langue : vérifie le programme, puis le certificat</x:v>
      </x:c>
      <x:c r="H9" s="9" t="str">
        <x:v>Français + tunisien</x:v>
      </x:c>
      <x:c r="I9" s="9" t="str">
        <x:v>Un niveau de langue ne suffit pas à choisir le bon certificat.</x:v>
      </x:c>
      <x:c r="J9" s="9" t="str">
        <x:v>Voix off intégrale : onglet Textes, V02.
La langue : vérifie le programme, puis le certificat</x:v>
      </x:c>
      <x:c r="K9" s="9" t="str">
        <x:v>Avant de réserver un examen, vérifie sur la page officielle du programme : langue d’enseignement, niveau demandé, preuves acceptées et moment où les fournir. Un critère vu ailleurs ne vaut pas automatiquement pour ton choix. Partage ce rappel à quelqu’un qui prépare sa langue.
Sources vérifiées le 21/09/2026 : [uni-assist — certificats de langue](https://www.uni-assist.de/en/how-to-apply/assemble-your-documents/language-certificates/).</x:v>
      </x:c>
      <x:c r="L9" s="9" t="str">
        <x:v>#AlmaGo #EtudierEnAllemagne #Langues #CandidatureUniversitaire</x:v>
      </x:c>
      <x:c r="M9" s="9" t="str">
        <x:v>partager</x:v>
      </x:c>
      <x:c r="N9" s="9" t="str">
        <x:v>3–10 s — Navigation sur une page officielle vérifiée ou maquette neutre clairement signalée.
10–18 s — Les trois questions apparaissent successivement.
18–26 s — Zoom sur la rubrique des exigences linguistiques ; aucune date inventée.
26–33 s — Plusieurs fiches de programmes, critères différents symbolisés sans chiffres.
33–40 s — Carte récapitulative puis logo discret.</x:v>
      </x:c>
      <x:c r="O9" s="9" t="str">
        <x:v>Texte préparé ; visuel à produire</x:v>
      </x:c>
      <x:c r="P9" s="9" t="str">
        <x:v>Éducatif</x:v>
      </x:c>
      <x:c r="Q9" s="9" t="str">
        <x:v>https://www.uni-assist.de/en/how-to-apply/assemble-your-documents/language-certificates/</x:v>
      </x:c>
      <x:c r="R9" s="9" t="str">
        <x:v>21/09/2026 ; recontrôler avant diffusion</x:v>
      </x:c>
    </x:row>
    <x:row r="10" ht="340" customHeight="1">
      <x:c r="A10" s="10" t="n">
        <x:v>3</x:v>
      </x:c>
      <x:c r="B10" s="14" t="n">
        <x:f>'Calendrier'!$B$4+A10-1</x:f>
        <x:v>46295</x:v>
      </x:c>
      <x:c r="C10" s="17" t="n">
        <x:v>0.8541666666666666</x:v>
      </x:c>
      <x:c r="D10" s="10" t="str">
        <x:v>TikTok</x:v>
      </x:c>
      <x:c r="E10" s="10" t="str">
        <x:v>V02</x:v>
      </x:c>
      <x:c r="F10" s="10" t="str">
        <x:v>Vidéo verticale</x:v>
      </x:c>
      <x:c r="G10" s="10" t="str">
        <x:v>La langue : vérifie le programme, puis le certificat</x:v>
      </x:c>
      <x:c r="H10" s="10" t="str">
        <x:v>Français + tunisien</x:v>
      </x:c>
      <x:c r="I10" s="10" t="str">
        <x:v>باش تعدّي امتحان لغة؟ تثبّت من البرنامج قبل.</x:v>
      </x:c>
      <x:c r="J10" s="10" t="str">
        <x:v>Voix off intégrale : onglet Textes, V02.
La langue : vérifie le programme, puis le certificat</x:v>
      </x:c>
      <x:c r="K10" s="10" t="str">
        <x:v>اسم الشهادة وحدو ما يكفيش. شوف شنوة يقبل البرنامج اللي اخترتو ووقتاش يطلب الإثبات. ابعث الفيديو لصاحبك اللي يحضّر باش يعدّي امتحان لغة.
Sources vérifiées le 21/09/2026 : [uni-assist — certificats de langue](https://www.uni-assist.de/en/how-to-apply/assemble-your-documents/language-certificates/).</x:v>
      </x:c>
      <x:c r="L10" s="10" t="str">
        <x:v>#AlmaGo #قراية_في_ألمانيا #تعلم_اللغات #EtudiantsTunisiens</x:v>
      </x:c>
      <x:c r="M10" s="10" t="str">
        <x:v>partager</x:v>
      </x:c>
      <x:c r="N10" s="10" t="str">
        <x:v>3–10 s — Navigation sur une page officielle vérifiée ou maquette neutre clairement signalée.
10–18 s — Les trois questions apparaissent successivement.
18–26 s — Zoom sur la rubrique des exigences linguistiques ; aucune date inventée.
26–33 s — Plusieurs fiches de programmes, critères différents symbolisés sans chiffres.
33–40 s — Carte récapitulative puis logo discret.</x:v>
      </x:c>
      <x:c r="O10" s="10" t="str">
        <x:v>Texte préparé ; visuel à produire</x:v>
      </x:c>
      <x:c r="P10" s="10" t="str">
        <x:v>Éducatif</x:v>
      </x:c>
      <x:c r="Q10" s="10" t="str">
        <x:v>https://www.uni-assist.de/en/how-to-apply/assemble-your-documents/language-certificates/</x:v>
      </x:c>
      <x:c r="R10" s="10" t="str">
        <x:v>21/09/2026 ; recontrôler avant diffusion</x:v>
      </x:c>
    </x:row>
    <x:row r="11" ht="340" customHeight="1">
      <x:c r="A11" s="9" t="n">
        <x:v>4</x:v>
      </x:c>
      <x:c r="B11" s="13" t="n">
        <x:f>'Calendrier'!$B$4+A11-1</x:f>
        <x:v>46296</x:v>
      </x:c>
      <x:c r="C11" s="16" t="n">
        <x:v>0.7916666666666666</x:v>
      </x:c>
      <x:c r="D11" s="9" t="str">
        <x:v>Instagram</x:v>
      </x:c>
      <x:c r="E11" s="9" t="str">
        <x:v>C02</x:v>
      </x:c>
      <x:c r="F11" s="9" t="str">
        <x:v>Carrousel / album</x:v>
      </x:c>
      <x:c r="G11" s="9" t="str">
        <x:v>Dossier : une base, pas une liste universelle</x:v>
      </x:c>
      <x:c r="H11" s="9" t="str">
        <x:v>Français + tunisien</x:v>
      </x:c>
      <x:c r="I11" s="9" t="str">
        <x:v>Dossier : une base, pas une liste universelle.
Une formation = des consignes à vérifier.
ملف الترشّح: موش نفس القائمة للناس الكلّ.
كل تكوين عندو تعليمات يلزم تثبّت فيها.</x:v>
      </x:c>
      <x:c r="J11" s="9" t="str">
        <x:v>Slide 1
Dossier : une base, pas une liste universelle.
Une formation = des consignes à vérifier.
ملف الترشّح: موش نفس القائمة للناس الكلّ.
كل تكوين عندو تعليمات يلزم تثبّت فيها.
Toutes les slides : onglet Textes, C02.</x:v>
      </x:c>
      <x:c r="K11" s="9" t="str">
        <x:v>Une checklist trouvée sur les réseaux peut t'aider à démarrer. Pour déposer ta candidature, il te faut celle qui correspond à ton programme et à ton parcours.
قبل ما تبدأ تجمع الوثائق، ثبّت في القائمة الرسمية. وقبل ما تخلّص ترجمة، ثبّت في الشروط.
Crée une fiche par programme : lien officiel, pièces demandées, format et échéance. Les exemples du carrousel ne constituent pas une liste complète ni une règle pour toutes les universités.
📌 Sauvegarde ce modèle de fiche avant de préparer tes candidatures.
Sources consultées le 21/09/2026 : uni-assist — Documents : https://www.uni-assist.de/en/how-to-apply/assemble-your-documents/educational-certificates/ · Traductions : https://www.uni-assist.de/en/how-to-apply/assemble-your-documents/translations/ · Consignes Tunisie : https://www.uni-assist.de/en/tools/info-country-by-country/details-country/country/tn/.</x:v>
      </x:c>
      <x:c r="L11" s="9" t="str">
        <x:v>#AlmaGo #CandidatureUniversitaire #EtudierEnAllemagne #DossierEtudiant</x:v>
      </x:c>
      <x:c r="M11" s="9" t="str">
        <x:v>IG sauvegarder ; FB partager avec un proche concerné.</x:v>
      </x:c>
      <x:c r="N11" s="9" t="str">
        <x:v>Slide 1 : Deux dossiers aux listes différentes.
Slide 2 : Fenêtre web fictive « Programme choisi / Admission ». Ne pas imiter une vraie page officielle.
Slide 3 : Quatre fiches portant la mention « EXEMPLES ».
Slide 4 : Document fictif avec trois étiquettes : langue, traduction, copie.
Slide 5 : Calendrier vierge et cases à cocher ; aucune échéance inventée.
Slide 6 : Fiche de suivi simple reprenant les quatre rubriques.</x:v>
      </x:c>
      <x:c r="O11" s="9" t="str">
        <x:v>Texte préparé ; visuel à produire</x:v>
      </x:c>
      <x:c r="P11" s="9" t="str">
        <x:v>Éducatif</x:v>
      </x:c>
      <x:c r="Q11" s="9" t="str">
        <x:v>https://www.uni-assist.de/en/how-to-apply/assemble-your-documents/educational-certificates/
https://www.uni-assist.de/en/how-to-apply/assemble-your-documents/translations/
https://www.uni-assist.de/en/faqs/assemble-your-documents/
https://www.uni-assist.de/en/tools/info-country-by-country/details-country/country/tn/</x:v>
      </x:c>
      <x:c r="R11" s="9" t="str">
        <x:v>21/09/2026 ; recontrôler avant diffusion</x:v>
      </x:c>
    </x:row>
    <x:row r="12" ht="340" customHeight="1">
      <x:c r="A12" s="10" t="n">
        <x:v>4</x:v>
      </x:c>
      <x:c r="B12" s="14" t="n">
        <x:f>'Calendrier'!$B$4+A12-1</x:f>
        <x:v>46296</x:v>
      </x:c>
      <x:c r="C12" s="17" t="n">
        <x:v>0.7708333333333334</x:v>
      </x:c>
      <x:c r="D12" s="10" t="str">
        <x:v>Facebook</x:v>
      </x:c>
      <x:c r="E12" s="10" t="str">
        <x:v>C02</x:v>
      </x:c>
      <x:c r="F12" s="10" t="str">
        <x:v>Carrousel / album</x:v>
      </x:c>
      <x:c r="G12" s="10" t="str">
        <x:v>Dossier : une base, pas une liste universelle</x:v>
      </x:c>
      <x:c r="H12" s="10" t="str">
        <x:v>Français + tunisien</x:v>
      </x:c>
      <x:c r="I12" s="10" t="str">
        <x:v>Dossier : une base, pas une liste universelle.
Une formation = des consignes à vérifier.
ملف الترشّح: موش نفس القائمة للناس الكلّ.
كل تكوين عندو تعليمات يلزم تثبّت فيها.</x:v>
      </x:c>
      <x:c r="J12" s="10" t="str">
        <x:v>Slide 1
Dossier : une base, pas une liste universelle.
Une formation = des consignes à vérifier.
ملف الترشّح: موش نفس القائمة للناس الكلّ.
كل تكوين عندو تعليمات يلزم تثبّت فيها.
Toutes les slides : onglet Textes, C02.</x:v>
      </x:c>
      <x:c r="K12" s="10" t="str">
        <x:v>Préparer un dossier d'études à l'étranger en famille demande de l'organisation. Une précaution utile : vérifier les consignes du programme avant de commander des traductions ou de faire certifier des copies.
Les documents nécessaires, les formats et les dates peuvent varier selon le parcours et l'établissement. Ce carrousel aide à construire une fiche de suivi ; il ne remplace pas la liste officielle du programme choisi.
باش تنظّموا التحضير مع ولدكم ولا بنتكم: اعملوا ورقة لكل تكوين، فيها المصدر الرسمي، الوثائق، الصيغة وآخر أجل.
Partagez ce repère avec la personne qui vous aide à préparer le dossier.
Sources consultées le 21/09/2026 : uni-assist — Documents : https://www.uni-assist.de/en/how-to-apply/assemble-your-documents/educational-certificates/ · Traductions : https://www.uni-assist.de/en/how-to-apply/assemble-your-documents/translations/ · Consignes Tunisie : https://www.uni-assist.de/en/tools/info-country-by-country/details-country/country/tn/.</x:v>
      </x:c>
      <x:c r="L12" s="10" t="str">
        <x:v>#AlmaGo #EtudesEnAllemagne #DossierEtudiant</x:v>
      </x:c>
      <x:c r="M12" s="10" t="str">
        <x:v>IG sauvegarder ; FB partager avec un proche concerné.</x:v>
      </x:c>
      <x:c r="N12" s="10" t="str">
        <x:v>Slide 1 : Deux dossiers aux listes différentes.
Slide 2 : Fenêtre web fictive « Programme choisi / Admission ». Ne pas imiter une vraie page officielle.
Slide 3 : Quatre fiches portant la mention « EXEMPLES ».
Slide 4 : Document fictif avec trois étiquettes : langue, traduction, copie.
Slide 5 : Calendrier vierge et cases à cocher ; aucune échéance inventée.
Slide 6 : Fiche de suivi simple reprenant les quatre rubriques.</x:v>
      </x:c>
      <x:c r="O12" s="10" t="str">
        <x:v>Texte préparé ; visuel à produire</x:v>
      </x:c>
      <x:c r="P12" s="10" t="str">
        <x:v>Éducatif</x:v>
      </x:c>
      <x:c r="Q12" s="10" t="str">
        <x:v>https://www.uni-assist.de/en/how-to-apply/assemble-your-documents/educational-certificates/
https://www.uni-assist.de/en/how-to-apply/assemble-your-documents/translations/
https://www.uni-assist.de/en/faqs/assemble-your-documents/
https://www.uni-assist.de/en/tools/info-country-by-country/details-country/country/tn/</x:v>
      </x:c>
      <x:c r="R12" s="10" t="str">
        <x:v>21/09/2026 ; recontrôler avant diffusion</x:v>
      </x:c>
    </x:row>
    <x:row r="13" ht="340" customHeight="1">
      <x:c r="A13" s="9" t="n">
        <x:v>5</x:v>
      </x:c>
      <x:c r="B13" s="13" t="n">
        <x:f>'Calendrier'!$B$4+A13-1</x:f>
        <x:v>46297</x:v>
      </x:c>
      <x:c r="C13" s="16" t="n">
        <x:v>0.7916666666666666</x:v>
      </x:c>
      <x:c r="D13" s="9" t="str">
        <x:v>Instagram</x:v>
      </x:c>
      <x:c r="E13" s="9" t="str">
        <x:v>V03</x:v>
      </x:c>
      <x:c r="F13" s="9" t="str">
        <x:v>Vidéo verticale</x:v>
      </x:c>
      <x:c r="G13" s="9" t="str">
        <x:v>Une admission garantit-elle le visa ?</x:v>
      </x:c>
      <x:c r="H13" s="9" t="str">
        <x:v>Français + tunisien</x:v>
      </x:c>
      <x:c r="I13" s="9" t="str">
        <x:v>Une admission universitaire garantit-elle le visa ? Non.</x:v>
      </x:c>
      <x:c r="J13" s="9" t="str">
        <x:v>Voix off intégrale : onglet Textes, V03.
Une admission garantit-elle le visa ?</x:v>
      </x:c>
      <x:c r="K13" s="9" t="str">
        <x:v>L’admission et le visa relèvent de décisions distinctes. L’université décide de l’admission ; les autorités compétentes décident du visa. AlmaGo est un projet d’agence d’accompagnement indépendante, sans pouvoir sur ces décisions. Les exigences applicables se vérifient auprès des sources officielles. Abonne-toi pour comprendre les étapes.
Sources vérifiées le 21/09/2026 : [Ambassade d’Allemagne à Tunis — visas nationaux](https://tunis.diplo.de/tn-fr/service/05-visaeinreise/1672716-1672716) et [études](https://tunis.diplo.de/tn-fr/service/05-visaeinreise/2573172-2573172). Pour la procédure actuelle, suivre la rubrique visas nationaux.</x:v>
      </x:c>
      <x:c r="L13" s="9" t="str">
        <x:v>#AlmaGo #EtudierEnAllemagne #VisaEtudiant #OrientationEtudiante</x:v>
      </x:c>
      <x:c r="M13" s="9" t="str">
        <x:v>s’abonner</x:v>
      </x:c>
      <x:c r="N13" s="9" t="str">
        <x:v>3–11 s — Deux colonnes séparées, sans flèche laissant entendre une validation automatique.
11–20 s — Carte conceptuelle « Admission universitaire » puis écran « Démarche visa ». Aucun document, en-tête, nom, tampon ou élément évoquant une admission réelle.
20–28 s — Logo AlmaGo dans une troisième case, distincte des deux décideurs.
28–36 s — Maintenir les deux attributions lisibles avant le CTA.</x:v>
      </x:c>
      <x:c r="O13" s="9" t="str">
        <x:v>Texte préparé ; visuel à produire</x:v>
      </x:c>
      <x:c r="P13" s="9" t="str">
        <x:v>Éducatif</x:v>
      </x:c>
      <x:c r="Q13" s="9" t="str">
        <x:v>https://tunis.diplo.de/tn-fr/service/05-visaeinreise/1672716-1672716
https://tunis.diplo.de/tn-fr/service/05-visaeinreise/2573172-2573172</x:v>
      </x:c>
      <x:c r="R13" s="9" t="str">
        <x:v>21/09/2026 ; recontrôler avant diffusion</x:v>
      </x:c>
    </x:row>
    <x:row r="14" ht="340" customHeight="1">
      <x:c r="A14" s="10" t="n">
        <x:v>5</x:v>
      </x:c>
      <x:c r="B14" s="14" t="n">
        <x:f>'Calendrier'!$B$4+A14-1</x:f>
        <x:v>46297</x:v>
      </x:c>
      <x:c r="C14" s="17" t="n">
        <x:v>0.8541666666666666</x:v>
      </x:c>
      <x:c r="D14" s="10" t="str">
        <x:v>TikTok</x:v>
      </x:c>
      <x:c r="E14" s="10" t="str">
        <x:v>V03</x:v>
      </x:c>
      <x:c r="F14" s="10" t="str">
        <x:v>Vidéo verticale</x:v>
      </x:c>
      <x:c r="G14" s="10" t="str">
        <x:v>Une admission garantit-elle le visa ?</x:v>
      </x:c>
      <x:c r="H14" s="10" t="str">
        <x:v>Français + tunisien</x:v>
      </x:c>
      <x:c r="I14" s="10" t="str">
        <x:v>جاك قبول من جامعة؟ الفيزا موش أوتوماتيك.</x:v>
      </x:c>
      <x:c r="J14" s="10" t="str">
        <x:v>Voix off intégrale : onglet Textes, V03.
Une admission garantit-elle le visa ?</x:v>
      </x:c>
      <x:c r="K14" s="10" t="str">
        <x:v>القبول خطوة مهمّة، أمّا موش ضمان للفيزا. الجامعة تقرّر في القبول والسلطات المختصّة في الفيزا. تابع AlmaGo باش تفهم المراحل.
Sources vérifiées le 21/09/2026 : [Ambassade d’Allemagne à Tunis — visas nationaux](https://tunis.diplo.de/tn-fr/service/05-visaeinreise/1672716-1672716) et [études](https://tunis.diplo.de/tn-fr/service/05-visaeinreise/2573172-2573172). Pour la procédure actuelle, suivre la rubrique visas nationaux.</x:v>
      </x:c>
      <x:c r="L14" s="10" t="str">
        <x:v>#AlmaGo #قراية_في_ألمانيا #VisaEtudiant #طلبة_تونس</x:v>
      </x:c>
      <x:c r="M14" s="10" t="str">
        <x:v>s’abonner</x:v>
      </x:c>
      <x:c r="N14" s="10" t="str">
        <x:v>3–11 s — Deux colonnes séparées, sans flèche laissant entendre une validation automatique.
11–20 s — Carte conceptuelle « Admission universitaire » puis écran « Démarche visa ». Aucun document, en-tête, nom, tampon ou élément évoquant une admission réelle.
20–28 s — Logo AlmaGo dans une troisième case, distincte des deux décideurs.
28–36 s — Maintenir les deux attributions lisibles avant le CTA.</x:v>
      </x:c>
      <x:c r="O14" s="10" t="str">
        <x:v>Texte préparé ; visuel à produire</x:v>
      </x:c>
      <x:c r="P14" s="10" t="str">
        <x:v>Éducatif</x:v>
      </x:c>
      <x:c r="Q14" s="10" t="str">
        <x:v>https://tunis.diplo.de/tn-fr/service/05-visaeinreise/1672716-1672716
https://tunis.diplo.de/tn-fr/service/05-visaeinreise/2573172-2573172</x:v>
      </x:c>
      <x:c r="R14" s="10" t="str">
        <x:v>21/09/2026 ; recontrôler avant diffusion</x:v>
      </x:c>
    </x:row>
    <x:row r="15" ht="340" customHeight="1">
      <x:c r="A15" s="9" t="n">
        <x:v>5</x:v>
      </x:c>
      <x:c r="B15" s="13" t="n">
        <x:f>'Calendrier'!$B$4+A15-1</x:f>
        <x:v>46297</x:v>
      </x:c>
      <x:c r="C15" s="16" t="n">
        <x:v>0.7708333333333334</x:v>
      </x:c>
      <x:c r="D15" s="9" t="str">
        <x:v>Facebook</x:v>
      </x:c>
      <x:c r="E15" s="9" t="str">
        <x:v>V03</x:v>
      </x:c>
      <x:c r="F15" s="9" t="str">
        <x:v>Vidéo verticale</x:v>
      </x:c>
      <x:c r="G15" s="9" t="str">
        <x:v>Une admission garantit-elle le visa ?</x:v>
      </x:c>
      <x:c r="H15" s="9" t="str">
        <x:v>Français + tunisien</x:v>
      </x:c>
      <x:c r="I15" s="9" t="str">
        <x:v>Une admission universitaire garantit-elle le visa ? Non.</x:v>
      </x:c>
      <x:c r="J15" s="9" t="str">
        <x:v>Voix off intégrale : onglet Textes, V03.
Une admission garantit-elle le visa ?</x:v>
      </x:c>
      <x:c r="K15" s="9" t="str">
        <x:v>Recevoir une admission ne signifie pas que le visa sera automatiquement accordé. Ces démarches ont des critères et des décideurs distincts. L’université statue sur l’admission ; les autorités compétentes statuent sur le visa. AlmaGo ne représente aucune de ces institutions. Abonnez-vous pour suivre nos explications sur le parcours d’études.
Sources vérifiées le 21/09/2026 : [Ambassade d’Allemagne à Tunis — visas nationaux](https://tunis.diplo.de/tn-fr/service/05-visaeinreise/1672716-1672716) et [études](https://tunis.diplo.de/tn-fr/service/05-visaeinreise/2573172-2573172). Pour la procédure actuelle, suivre la rubrique visas nationaux.</x:v>
      </x:c>
      <x:c r="L15" s="9" t="str">
        <x:v>#AlmaGo #EtudesEnAllemagne #VisaEtudiant</x:v>
      </x:c>
      <x:c r="M15" s="9" t="str">
        <x:v>s’abonner</x:v>
      </x:c>
      <x:c r="N15" s="9" t="str">
        <x:v>3–11 s — Deux colonnes séparées, sans flèche laissant entendre une validation automatique.
11–20 s — Carte conceptuelle « Admission universitaire » puis écran « Démarche visa ». Aucun document, en-tête, nom, tampon ou élément évoquant une admission réelle.
20–28 s — Logo AlmaGo dans une troisième case, distincte des deux décideurs.
28–36 s — Maintenir les deux attributions lisibles avant le CTA.</x:v>
      </x:c>
      <x:c r="O15" s="9" t="str">
        <x:v>Texte préparé ; visuel à produire</x:v>
      </x:c>
      <x:c r="P15" s="9" t="str">
        <x:v>Éducatif</x:v>
      </x:c>
      <x:c r="Q15" s="9" t="str">
        <x:v>https://tunis.diplo.de/tn-fr/service/05-visaeinreise/1672716-1672716
https://tunis.diplo.de/tn-fr/service/05-visaeinreise/2573172-2573172</x:v>
      </x:c>
      <x:c r="R15" s="9" t="str">
        <x:v>21/09/2026 ; recontrôler avant diffusion</x:v>
      </x:c>
    </x:row>
    <x:row r="16" ht="340" customHeight="1">
      <x:c r="A16" s="10" t="n">
        <x:v>6</x:v>
      </x:c>
      <x:c r="B16" s="14" t="n">
        <x:f>'Calendrier'!$B$4+A16-1</x:f>
        <x:v>46298</x:v>
      </x:c>
      <x:c r="C16" s="17" t="n">
        <x:v>0.7916666666666666</x:v>
      </x:c>
      <x:c r="D16" s="10" t="str">
        <x:v>Instagram</x:v>
      </x:c>
      <x:c r="E16" s="10" t="str">
        <x:v>C03</x:v>
      </x:c>
      <x:c r="F16" s="10" t="str">
        <x:v>Carrousel / album</x:v>
      </x:c>
      <x:c r="G16" s="10" t="str">
        <x:v>L'accompagnement qu'AlmaGo prépare, qui décide quoi</x:v>
      </x:c>
      <x:c r="H16" s="10" t="str">
        <x:v>Français + tunisien</x:v>
      </x:c>
      <x:c r="I16" s="10" t="str">
        <x:v>L'accompagnement qu'AlmaGo prépare.
Et qui décide quoi.
المرافقة اللي AlmaGo قاعد يحضّر فيها.
وشكون ياخو القرارات؟</x:v>
      </x:c>
      <x:c r="J16" s="10" t="str">
        <x:v>Slide 1
L'accompagnement qu'AlmaGo prépare.
Et qui décide quoi.
المرافقة اللي AlmaGo قاعد يحضّر فيها.
وشكون ياخو القرارات؟
Toutes les slides : onglet Textes, C03.</x:v>
      </x:c>
      <x:c r="K16" s="10" t="str">
        <x:v>Un projet d'études soulève beaucoup de questions. AlmaGo prépare un accompagnement pour t'aider à clarifier ton projet et à organiser les démarches, étape par étape.
AlmaGo مشروع وكالة قاعدة تتحضّر. نحبّو نعاونُوك توضّح مشروعك وتنظّم الخطوات. قرار القبول عند المؤسسة التعليمية، وقرار الفيزا عند السلطات المختصّة.
AlmaGo est un projet d'agence indépendante : ce n'est ni une ambassade, ni une université, ni un organisme officiel allemand. Les services envisagés seront précisés au lancement. Aucune admission, aucun visa et aucun logement ne sont garantis.
Une question sur l'accompagnement en préparation ? Pose-la en commentaire, sans partager de données personnelles.
Sources consultées le 21/09/2026 : uni-assist — Candidature et admission : https://www.uni-assist.de/en/faqs/get-information/ · Ambassade — Visa : https://tunis.diplo.de/tn-fr/service/05-visaeinreise/1672716-1672716.</x:v>
      </x:c>
      <x:c r="L16" s="10" t="str">
        <x:v>#AlmaGo #ProjetEtudes #EtudiantsTunisiens #EtudierEnAllemagne</x:v>
      </x:c>
      <x:c r="M16" s="10" t="str">
        <x:v>question publique sur la méthode, sans données personnelles.</x:v>
      </x:c>
      <x:c r="N16" s="10" t="str">
        <x:v>Slide 1 : Deux colonnes visuelles « Projet d'accompagnement » et « Décisions ».
Slide 2 : Carte projet avec trois champs fictifs : parcours, objectif, options.
Slide 3 : Tableau de suivi illustratif sans données clients.
Slide 4 : Pictogramme d'établissement et cartouche « Décision d'admission ».
Slide 5 : Pictogrammes document et logement ; aucun sceau administratif.
Slide 6 : Bulle de question sobre. Pied : « AlmaGo · Projet d'agence indépendante. »</x:v>
      </x:c>
      <x:c r="O16" s="10" t="str">
        <x:v>Offre / méthode à confirmer</x:v>
      </x:c>
      <x:c r="P16" s="10" t="str">
        <x:v>Confiance</x:v>
      </x:c>
      <x:c r="Q16" s="10" t="str"/>
      <x:c r="R16" s="10" t="str">
        <x:v>21/09/2026 ; recontrôler avant diffusion</x:v>
      </x:c>
    </x:row>
    <x:row r="17" ht="340" customHeight="1">
      <x:c r="A17" s="9" t="n">
        <x:v>6</x:v>
      </x:c>
      <x:c r="B17" s="13" t="n">
        <x:f>'Calendrier'!$B$4+A17-1</x:f>
        <x:v>46298</x:v>
      </x:c>
      <x:c r="C17" s="16" t="n">
        <x:v>0.7708333333333334</x:v>
      </x:c>
      <x:c r="D17" s="9" t="str">
        <x:v>Facebook</x:v>
      </x:c>
      <x:c r="E17" s="9" t="str">
        <x:v>C03</x:v>
      </x:c>
      <x:c r="F17" s="9" t="str">
        <x:v>Carrousel / album</x:v>
      </x:c>
      <x:c r="G17" s="9" t="str">
        <x:v>L'accompagnement qu'AlmaGo prépare, qui décide quoi</x:v>
      </x:c>
      <x:c r="H17" s="9" t="str">
        <x:v>Français + tunisien</x:v>
      </x:c>
      <x:c r="I17" s="9" t="str">
        <x:v>L'accompagnement qu'AlmaGo prépare.
Et qui décide quoi.
المرافقة اللي AlmaGo قاعد يحضّر فيها.
وشكون ياخو القرارات؟</x:v>
      </x:c>
      <x:c r="J17" s="9" t="str">
        <x:v>Slide 1
L'accompagnement qu'AlmaGo prépare.
Et qui décide quoi.
المرافقة اللي AlmaGo قاعد يحضّر فيها.
وشكون ياخو القرارات؟
Toutes les slides : onglet Textes, C03.</x:v>
      </x:c>
      <x:c r="K17" s="9" t="str">
        <x:v>Avant de choisir un accompagnement pour un projet d'études en Allemagne, il est utile de savoir précisément ce que l'agence propose et qui prend les décisions.
AlmaGo prépare un accompagnement pour clarifier le projet de l'étudiant et organiser les démarches à partir des exigences officielles. Ces services sont envisagés et seront précisés au lancement. L'établissement décide de l'admission ; les autorités compétentes décident du visa. Aucun accompagnement AlmaGo ne garantit une admission, un visa ou un logement.
AlmaGo est un projet d'agence indépendante, sans statut d'ambassade, d'université ou d'organisme officiel allemand.
AlmaGo مشروع وكالة قاعدة تتحضّر. تحبّوا تفهموا المرافقة اللي نحضّروا فيها لولدكم ولا بنتكم؟ اكتبوا سؤالكم في تعليق، من غير معلومات شخصية.
Quelle question vous posez-vous sur l'accompagnement en préparation ? Vous pouvez la laisser en commentaire, sans publier de données personnelles.
Sources consultées le 21/09/2026 : uni-assist — Candidature et admission : https://www.uni-assist.de/en/faqs/get-information/ · Ambassade — Visa : https://tunis.diplo.de/tn-fr/service/05-visaeinreise/1672716-1672716.</x:v>
      </x:c>
      <x:c r="L17" s="9" t="str">
        <x:v>#AlmaGo #EtudesEnAllemagne #ParentsTunisiens</x:v>
      </x:c>
      <x:c r="M17" s="9" t="str">
        <x:v>question publique sur la méthode, sans données personnelles.</x:v>
      </x:c>
      <x:c r="N17" s="9" t="str">
        <x:v>Slide 1 : Deux colonnes visuelles « Projet d'accompagnement » et « Décisions ».
Slide 2 : Carte projet avec trois champs fictifs : parcours, objectif, options.
Slide 3 : Tableau de suivi illustratif sans données clients.
Slide 4 : Pictogramme d'établissement et cartouche « Décision d'admission ».
Slide 5 : Pictogrammes document et logement ; aucun sceau administratif.
Slide 6 : Bulle de question sobre. Pied : « AlmaGo · Projet d'agence indépendante. »</x:v>
      </x:c>
      <x:c r="O17" s="9" t="str">
        <x:v>Offre / méthode à confirmer</x:v>
      </x:c>
      <x:c r="P17" s="9" t="str">
        <x:v>Confiance</x:v>
      </x:c>
      <x:c r="Q17" s="9" t="str"/>
      <x:c r="R17" s="9" t="str">
        <x:v>21/09/2026 ; recontrôler avant diffusion</x:v>
      </x:c>
    </x:row>
    <x:row r="18" ht="340" customHeight="1">
      <x:c r="A18" s="10" t="n">
        <x:v>7</x:v>
      </x:c>
      <x:c r="B18" s="14" t="n">
        <x:f>'Calendrier'!$B$4+A18-1</x:f>
        <x:v>46299</x:v>
      </x:c>
      <x:c r="C18" s="17" t="n">
        <x:v>0.7916666666666666</x:v>
      </x:c>
      <x:c r="D18" s="10" t="str">
        <x:v>Instagram</x:v>
      </x:c>
      <x:c r="E18" s="10" t="str">
        <x:v>V04</x:v>
      </x:c>
      <x:c r="F18" s="10" t="str">
        <x:v>Vidéo verticale</x:v>
      </x:c>
      <x:c r="G18" s="10" t="str">
        <x:v>La méthode qu’AlmaGo prépare</x:v>
      </x:c>
      <x:c r="H18" s="10" t="str">
        <x:v>Français + tunisien</x:v>
      </x:c>
      <x:c r="I18" s="10" t="str">
        <x:v>AlmaGo se prépare : voici la méthode que nous voulons proposer.</x:v>
      </x:c>
      <x:c r="J18" s="10" t="str">
        <x:v>Voix off intégrale : onglet Textes, V04.
La méthode qu’AlmaGo prépare</x:v>
      </x:c>
      <x:c r="K18" s="10" t="str">
        <x:v>AlmaGo se prépare. Notre méthode envisagée : comprendre le projet, vérifier les exigences et organiser les étapes. L’offre et ses modalités seront annoncées au lancement. Les décisions restent celles des universités et des autorités compétentes. Abonne-toi pour suivre le lancement.</x:v>
      </x:c>
      <x:c r="L18" s="10" t="str">
        <x:v>#AlmaGo #EtudiantsTunisiens #ProjetEtudes #EtudierEnAllemagne</x:v>
      </x:c>
      <x:c r="M18" s="10" t="str">
        <x:v>s’abonner</x:v>
      </x:c>
      <x:c r="N18" s="10" t="str">
        <x:v>3–12 s — Fiche profil fictive avec rubriques génériques.
12–21 s — Loupe sur une rubrique de source officielle puis checklist vide.
21–31 s — Trois cartes simples ; aucun tarif ni prestation contractuelle inventés.
31–36 s — Carte calme sans cadenas, label « certifié » ou tampon officiel.
36–43 s — Logo AlmaGo et slogan, sans coordonnées fictives.</x:v>
      </x:c>
      <x:c r="O18" s="10" t="str">
        <x:v>Offre / méthode à confirmer</x:v>
      </x:c>
      <x:c r="P18" s="10" t="str">
        <x:v>Confiance</x:v>
      </x:c>
      <x:c r="Q18" s="10" t="str"/>
      <x:c r="R18" s="10" t="str">
        <x:v>21/09/2026 ; recontrôler avant diffusion</x:v>
      </x:c>
    </x:row>
    <x:row r="19" ht="340" customHeight="1">
      <x:c r="A19" s="9" t="n">
        <x:v>7</x:v>
      </x:c>
      <x:c r="B19" s="13" t="n">
        <x:f>'Calendrier'!$B$4+A19-1</x:f>
        <x:v>46299</x:v>
      </x:c>
      <x:c r="C19" s="16" t="n">
        <x:v>0.8541666666666666</x:v>
      </x:c>
      <x:c r="D19" s="9" t="str">
        <x:v>TikTok</x:v>
      </x:c>
      <x:c r="E19" s="9" t="str">
        <x:v>V04</x:v>
      </x:c>
      <x:c r="F19" s="9" t="str">
        <x:v>Vidéo verticale</x:v>
      </x:c>
      <x:c r="G19" s="9" t="str">
        <x:v>La méthode qu’AlmaGo prépare</x:v>
      </x:c>
      <x:c r="H19" s="9" t="str">
        <x:v>Français + tunisien</x:v>
      </x:c>
      <x:c r="I19" s="9" t="str">
        <x:v>AlmaGo قاعدة تتحضّر. كيفاش نحبّو نرافقوك؟</x:v>
      </x:c>
      <x:c r="J19" s="9" t="str">
        <x:v>Voix off intégrale : onglet Textes, V04.
La méthode qu’AlmaGo prépare</x:v>
      </x:c>
      <x:c r="K19" s="9" t="str">
        <x:v>AlmaGo قاعدة تتحضّر: بروفيل واضح، شروط نتثبّتوا منها، ومراحل منظّمة. تفاصيل الخدمة باش تتعلن وقت الإطلاق. تابعنا باش تعرف الجديد.</x:v>
      </x:c>
      <x:c r="L19" s="9" t="str">
        <x:v>#AlmaGo #قراية_في_ألمانيا #طلبة_تونس #ProjetEtudes</x:v>
      </x:c>
      <x:c r="M19" s="9" t="str">
        <x:v>s’abonner</x:v>
      </x:c>
      <x:c r="N19" s="9" t="str">
        <x:v>3–12 s — Fiche profil fictive avec rubriques génériques.
12–21 s — Loupe sur une rubrique de source officielle puis checklist vide.
21–31 s — Trois cartes simples ; aucun tarif ni prestation contractuelle inventés.
31–36 s — Carte calme sans cadenas, label « certifié » ou tampon officiel.
36–43 s — Logo AlmaGo et slogan, sans coordonnées fictives.</x:v>
      </x:c>
      <x:c r="O19" s="9" t="str">
        <x:v>Offre / méthode à confirmer</x:v>
      </x:c>
      <x:c r="P19" s="9" t="str">
        <x:v>Confiance</x:v>
      </x:c>
      <x:c r="Q19" s="9" t="str"/>
      <x:c r="R19" s="9" t="str">
        <x:v>21/09/2026 ; recontrôler avant diffusion</x:v>
      </x:c>
    </x:row>
    <x:row r="20" ht="340" customHeight="1">
      <x:c r="A20" s="10" t="n">
        <x:v>7</x:v>
      </x:c>
      <x:c r="B20" s="14" t="n">
        <x:f>'Calendrier'!$B$4+A20-1</x:f>
        <x:v>46299</x:v>
      </x:c>
      <x:c r="C20" s="17" t="n">
        <x:v>0.7708333333333334</x:v>
      </x:c>
      <x:c r="D20" s="10" t="str">
        <x:v>Facebook</x:v>
      </x:c>
      <x:c r="E20" s="10" t="str">
        <x:v>V04</x:v>
      </x:c>
      <x:c r="F20" s="10" t="str">
        <x:v>Vidéo verticale</x:v>
      </x:c>
      <x:c r="G20" s="10" t="str">
        <x:v>La méthode qu’AlmaGo prépare</x:v>
      </x:c>
      <x:c r="H20" s="10" t="str">
        <x:v>Français + tunisien</x:v>
      </x:c>
      <x:c r="I20" s="10" t="str">
        <x:v>AlmaGo se prépare : voici la méthode que nous voulons proposer.</x:v>
      </x:c>
      <x:c r="J20" s="10" t="str">
        <x:v>Voix off intégrale : onglet Textes, V04.
La méthode qu’AlmaGo prépare</x:v>
      </x:c>
      <x:c r="K20" s="10" t="str">
        <x:v>Notre projet s’adresse aux étudiants tunisiens et à leurs familles. La méthode envisagée part du parcours de l’étudiant, puis des exigences officielles des programmes et de l’organisation des étapes. Le périmètre exact des prestations, leur prix et leurs limites seront annoncés au lancement. Les universités et les autorités compétentes gardent la décision finale. Abonnez-vous pour suivre le lancement.</x:v>
      </x:c>
      <x:c r="L20" s="10" t="str">
        <x:v>#AlmaGo #EtudesEnAllemagne #EtudiantsTunisiens</x:v>
      </x:c>
      <x:c r="M20" s="10" t="str">
        <x:v>s’abonner</x:v>
      </x:c>
      <x:c r="N20" s="10" t="str">
        <x:v>3–12 s — Fiche profil fictive avec rubriques génériques.
12–21 s — Loupe sur une rubrique de source officielle puis checklist vide.
21–31 s — Trois cartes simples ; aucun tarif ni prestation contractuelle inventés.
31–36 s — Carte calme sans cadenas, label « certifié » ou tampon officiel.
36–43 s — Logo AlmaGo et slogan, sans coordonnées fictives.</x:v>
      </x:c>
      <x:c r="O20" s="10" t="str">
        <x:v>Offre / méthode à confirmer</x:v>
      </x:c>
      <x:c r="P20" s="10" t="str">
        <x:v>Confiance</x:v>
      </x:c>
      <x:c r="Q20" s="10" t="str"/>
      <x:c r="R20" s="10" t="str">
        <x:v>21/09/2026 ; recontrôler avant diffusion</x:v>
      </x:c>
    </x:row>
    <x:row r="21" ht="340" customHeight="1">
      <x:c r="A21" s="9" t="n">
        <x:v>8</x:v>
      </x:c>
      <x:c r="B21" s="13" t="n">
        <x:f>'Calendrier'!$B$4+A21-1</x:f>
        <x:v>46300</x:v>
      </x:c>
      <x:c r="C21" s="16" t="n">
        <x:v>0.7916666666666666</x:v>
      </x:c>
      <x:c r="D21" s="9" t="str">
        <x:v>Instagram</x:v>
      </x:c>
      <x:c r="E21" s="9" t="str">
        <x:v>V05</x:v>
      </x:c>
      <x:c r="F21" s="9" t="str">
        <x:v>Vidéo verticale</x:v>
      </x:c>
      <x:c r="G21" s="9" t="str">
        <x:v>Candidature directe, uni-assist ou VPD ?</x:v>
      </x:c>
      <x:c r="H21" s="9" t="str">
        <x:v>Français + tunisien</x:v>
      </x:c>
      <x:c r="I21" s="9" t="str">
        <x:v>Le parcours de candidature se vérifie pour chaque programme.</x:v>
      </x:c>
      <x:c r="J21" s="9" t="str">
        <x:v>Voix off intégrale : onglet Textes, V05.
Candidature directe, uni-assist ou VPD ?</x:v>
      </x:c>
      <x:c r="K21" s="9" t="str">
        <x:v>Directe, uni-assist ou VPD : commence par la procédure indiquée pour ton programme et ton profil. Une VPD ne remplace pas la candidature auprès de l’université et ne constitue pas une admission. Sauvegarde ce repère pour vérifier ton parcours de dépôt.
Sources vérifiées le 21/09/2026 : [uni-assist — procédure](https://www.uni-assist.de/en/faqs/get-information/) et [VPD](https://www.uni-assist.de/en/how-to-apply/plan-your-application/vpd/).</x:v>
      </x:c>
      <x:c r="L21" s="9" t="str">
        <x:v>#AlmaGo #UniAssist #CandidatureUniversitaire #EtudierEnAllemagne</x:v>
      </x:c>
      <x:c r="M21" s="9" t="str">
        <x:v>sauvegarder</x:v>
      </x:c>
      <x:c r="N21" s="9" t="str">
        <x:v>3–13 s — Programme → procédure officielle » ; capture vérifiée.
13–26 s — VPD = évaluation préalable » puis « Candidature à l’université à effectuer ». Diagramme, pas de documents réels.
26–34 s — VPD ≠ admission » / « Admission : université ».
34–42 s — Procédure · pièces · échéances » puis CTA.</x:v>
      </x:c>
      <x:c r="O21" s="9" t="str">
        <x:v>Texte préparé ; visuel à produire</x:v>
      </x:c>
      <x:c r="P21" s="9" t="str">
        <x:v>Éducatif</x:v>
      </x:c>
      <x:c r="Q21" s="9" t="str">
        <x:v>https://www.uni-assist.de/en/faqs/get-information/
https://www.uni-assist.de/en/how-to-apply/plan-your-application/vpd/</x:v>
      </x:c>
      <x:c r="R21" s="9" t="str">
        <x:v>21/09/2026 ; recontrôler avant diffusion</x:v>
      </x:c>
    </x:row>
    <x:row r="22" ht="340" customHeight="1">
      <x:c r="A22" s="10" t="n">
        <x:v>8</x:v>
      </x:c>
      <x:c r="B22" s="14" t="n">
        <x:f>'Calendrier'!$B$4+A22-1</x:f>
        <x:v>46300</x:v>
      </x:c>
      <x:c r="C22" s="17" t="n">
        <x:v>0.8541666666666666</x:v>
      </x:c>
      <x:c r="D22" s="10" t="str">
        <x:v>TikTok</x:v>
      </x:c>
      <x:c r="E22" s="10" t="str">
        <x:v>V05</x:v>
      </x:c>
      <x:c r="F22" s="10" t="str">
        <x:v>Vidéo verticale</x:v>
      </x:c>
      <x:c r="G22" s="10" t="str">
        <x:v>Candidature directe, uni-assist ou VPD ?</x:v>
      </x:c>
      <x:c r="H22" s="10" t="str">
        <x:v>Français + tunisien</x:v>
      </x:c>
      <x:c r="I22" s="10" t="str">
        <x:v>تبعث للجامعة وإلا لـ uni-assist؟ تثبّت قبل.</x:v>
      </x:c>
      <x:c r="J22" s="10" t="str">
        <x:v>Voix off intégrale : onglet Textes, V05.
Candidature directe, uni-assist ou VPD ?</x:v>
      </x:c>
      <x:c r="K22" s="10" t="str">
        <x:v>VPD موش قبول. شوف مسار الترشّح الرسمي متاع البرنامج، وما تنساش المرحلة اللي بعد uni-assist إذا مطلوبة. احفظ الفيديو قبل ما تبدا.
Sources vérifiées le 21/09/2026 : [uni-assist — procédure](https://www.uni-assist.de/en/faqs/get-information/) et [VPD](https://www.uni-assist.de/en/how-to-apply/plan-your-application/vpd/).</x:v>
      </x:c>
      <x:c r="L22" s="10" t="str">
        <x:v>#AlmaGo #UniAssist #قراية_في_ألمانيا #طلبة_تونس</x:v>
      </x:c>
      <x:c r="M22" s="10" t="str">
        <x:v>sauvegarder</x:v>
      </x:c>
      <x:c r="N22" s="10" t="str">
        <x:v>3–13 s — Programme → procédure officielle » ; capture vérifiée.
13–26 s — VPD = évaluation préalable » puis « Candidature à l’université à effectuer ». Diagramme, pas de documents réels.
26–34 s — VPD ≠ admission » / « Admission : université ».
34–42 s — Procédure · pièces · échéances » puis CTA.</x:v>
      </x:c>
      <x:c r="O22" s="10" t="str">
        <x:v>Texte préparé ; visuel à produire</x:v>
      </x:c>
      <x:c r="P22" s="10" t="str">
        <x:v>Éducatif</x:v>
      </x:c>
      <x:c r="Q22" s="10" t="str">
        <x:v>https://www.uni-assist.de/en/faqs/get-information/
https://www.uni-assist.de/en/how-to-apply/plan-your-application/vpd/</x:v>
      </x:c>
      <x:c r="R22" s="10" t="str">
        <x:v>21/09/2026 ; recontrôler avant diffusion</x:v>
      </x:c>
    </x:row>
    <x:row r="23" ht="340" customHeight="1">
      <x:c r="A23" s="9" t="n">
        <x:v>9</x:v>
      </x:c>
      <x:c r="B23" s="13" t="n">
        <x:f>'Calendrier'!$B$4+A23-1</x:f>
        <x:v>46301</x:v>
      </x:c>
      <x:c r="C23" s="16" t="n">
        <x:v>0.7916666666666666</x:v>
      </x:c>
      <x:c r="D23" s="9" t="str">
        <x:v>Instagram</x:v>
      </x:c>
      <x:c r="E23" s="9" t="str">
        <x:v>C04</x:v>
      </x:c>
      <x:c r="F23" s="9" t="str">
        <x:v>Carrousel / album</x:v>
      </x:c>
      <x:c r="G23" s="9" t="str">
        <x:v>Studienkolleg : une étape à vérifier</x:v>
      </x:c>
      <x:c r="H23" s="9" t="str">
        <x:v>Français + tunisien</x:v>
      </x:c>
      <x:c r="I23" s="9" t="str">
        <x:v>Bac tunisien : faut-il un Studienkolleg ?
La réponse se vérifie avec ton parcours.
عندك باك تونسي: يلزمك تحضيري في ألمانيا؟
الإجابة يلزمها تثبّت حسب المسار متاعك.</x:v>
      </x:c>
      <x:c r="J23" s="9" t="str">
        <x:v>Slide 1
Bac tunisien : faut-il un Studienkolleg ?
La réponse se vérifie avec ton parcours.
عندك باك تونسي: يلزمك تحضيري في ألمانيا؟
الإجابة يلزمها تثبّت حسب المسار متاعك.
Toutes les slides : onglet Textes, C04.</x:v>
      </x:c>
      <x:c r="K23" s="9" t="str">
        <x:v>« J'ai un bac tunisien, donc je dois forcément faire un Studienkolleg ? » Une réponse générale ne suffit pas pour déterminer ton accès aux études.
موش كل بروفيل عندو نفس المسار. حضّر معلومات الديبلوم والقراية متاعك، وبعد ثبّت في التكوين اللي تحب عليه.
Les outils officiels donnent des repères ; les consignes de l'établissement visé permettent de vérifier la candidature envisagée. 📌 Sauvegarde ces trois informations à réunir.
Sources consultées le 21/09/2026 : DAAD — Accès aux études : https://www.daad.de/en/studying-in-germany/requirements/admission-database/ · uni-assist — Studienkolleg : https://www.uni-assist.de/en/how-to-apply/get-information/studienkolleg-preparatory-course/.</x:v>
      </x:c>
      <x:c r="L23" s="9" t="str">
        <x:v>#AlmaGo #Studienkolleg #EtudierEnAllemagne #BacTunisien</x:v>
      </x:c>
      <x:c r="M23" s="9" t="str">
        <x:v>enregistrer.</x:v>
      </x:c>
      <x:c r="N23" s="9" t="str">
        <x:v>embranchement simple « accès à vérifier » avec deux chemins sans conditions automatiques ; cartouche allemand « Studienkolleg » distinct du texte arabe ; cartes « diplôme / parcours / programme ». Éviter une flèche imposant « Bac tunisien → Studienkolleg ».</x:v>
      </x:c>
      <x:c r="O23" s="9" t="str">
        <x:v>Texte préparé ; visuel à produire</x:v>
      </x:c>
      <x:c r="P23" s="9" t="str">
        <x:v>Éducatif</x:v>
      </x:c>
      <x:c r="Q23" s="9" t="str">
        <x:v>https://www.daad.de/en/studying-in-germany/requirements/admission-database/
https://www.uni-assist.de/en/how-to-apply/get-information/studienkolleg-preparatory-course/
https://www.make-it-in-germany.com/en/study-vocational-training/studies-in-germany/requirements</x:v>
      </x:c>
      <x:c r="R23" s="9" t="str">
        <x:v>21/09/2026 ; recontrôler avant diffusion</x:v>
      </x:c>
    </x:row>
    <x:row r="24" ht="340" customHeight="1">
      <x:c r="A24" s="10" t="n">
        <x:v>9</x:v>
      </x:c>
      <x:c r="B24" s="14" t="n">
        <x:f>'Calendrier'!$B$4+A24-1</x:f>
        <x:v>46301</x:v>
      </x:c>
      <x:c r="C24" s="17" t="n">
        <x:v>0.7708333333333334</x:v>
      </x:c>
      <x:c r="D24" s="10" t="str">
        <x:v>Facebook</x:v>
      </x:c>
      <x:c r="E24" s="10" t="str">
        <x:v>C04</x:v>
      </x:c>
      <x:c r="F24" s="10" t="str">
        <x:v>Carrousel / album</x:v>
      </x:c>
      <x:c r="G24" s="10" t="str">
        <x:v>Studienkolleg : une étape à vérifier</x:v>
      </x:c>
      <x:c r="H24" s="10" t="str">
        <x:v>Français + tunisien</x:v>
      </x:c>
      <x:c r="I24" s="10" t="str">
        <x:v>Bac tunisien : faut-il un Studienkolleg ?
La réponse se vérifie avec ton parcours.
عندك باك تونسي: يلزمك تحضيري في ألمانيا؟
الإجابة يلزمها تثبّت حسب المسار متاعك.</x:v>
      </x:c>
      <x:c r="J24" s="10" t="str">
        <x:v>Slide 1
Bac tunisien : faut-il un Studienkolleg ?
La réponse se vérifie avec ton parcours.
عندك باك تونسي: يلزمك تحضيري في ألمانيا؟
الإجابة يلزمها تثبّت حسب المسار متاعك.
Toutes les slides : onglet Textes, C04.</x:v>
      </x:c>
      <x:c r="K24" s="10" t="str">
        <x:v>Le terme « Studienkolleg » apparaît souvent lorsqu'une famille se renseigne sur les études en Allemagne. Il désigne un parcours préparatoire pertinent dans certains cas ; on ne peut pas conclure qu'il est obligatoire pour chaque titulaire d'un bac tunisien.
Pour avancer, réunissez le diplôme exact de l'étudiant, son éventuel parcours après le bac et le programme souhaité. Ces informations permettent de consulter les sources officielles et les consignes de l'établissement concerné.
قبل ما تخطّطوا لمرحلة تحضيرية، ثبّتوا في المسار اللي يناسب وضعية ولدكم ولا بنتكم.
Enregistrez ce repère pour vos recherches en famille.
Sources consultées le 21/09/2026 : DAAD — Accès aux études : https://www.daad.de/en/studying-in-germany/requirements/admission-database/ · uni-assist — Studienkolleg : https://www.uni-assist.de/en/how-to-apply/get-information/studienkolleg-preparatory-course/.</x:v>
      </x:c>
      <x:c r="L24" s="10" t="str">
        <x:v>#AlmaGo #Studienkolleg #EtudesEnAllemagne</x:v>
      </x:c>
      <x:c r="M24" s="10" t="str">
        <x:v>enregistrer.</x:v>
      </x:c>
      <x:c r="N24" s="10" t="str">
        <x:v>embranchement simple « accès à vérifier » avec deux chemins sans conditions automatiques ; cartouche allemand « Studienkolleg » distinct du texte arabe ; cartes « diplôme / parcours / programme ». Éviter une flèche imposant « Bac tunisien → Studienkolleg ».</x:v>
      </x:c>
      <x:c r="O24" s="10" t="str">
        <x:v>Texte préparé ; visuel à produire</x:v>
      </x:c>
      <x:c r="P24" s="10" t="str">
        <x:v>Éducatif</x:v>
      </x:c>
      <x:c r="Q24" s="10" t="str">
        <x:v>https://www.daad.de/en/studying-in-germany/requirements/admission-database/
https://www.uni-assist.de/en/how-to-apply/get-information/studienkolleg-preparatory-course/
https://www.make-it-in-germany.com/en/study-vocational-training/studies-in-germany/requirements</x:v>
      </x:c>
      <x:c r="R24" s="10" t="str">
        <x:v>21/09/2026 ; recontrôler avant diffusion</x:v>
      </x:c>
    </x:row>
    <x:row r="25" ht="340" customHeight="1">
      <x:c r="A25" s="9" t="n">
        <x:v>10</x:v>
      </x:c>
      <x:c r="B25" s="13" t="n">
        <x:f>'Calendrier'!$B$4+A25-1</x:f>
        <x:v>46302</x:v>
      </x:c>
      <x:c r="C25" s="16" t="n">
        <x:v>0.7916666666666666</x:v>
      </x:c>
      <x:c r="D25" s="9" t="str">
        <x:v>Instagram</x:v>
      </x:c>
      <x:c r="E25" s="9" t="str">
        <x:v>V06</x:v>
      </x:c>
      <x:c r="F25" s="9" t="str">
        <x:v>Vidéo verticale</x:v>
      </x:c>
      <x:c r="G25" s="9" t="str">
        <x:v>Le budget : penser par postes</x:v>
      </x:c>
      <x:c r="H25" s="9" t="str">
        <x:v>Français + tunisien</x:v>
      </x:c>
      <x:c r="I25" s="9" t="str">
        <x:v>Ton budget d’études dépasse la seule candidature.</x:v>
      </x:c>
      <x:c r="J25" s="9" t="str">
        <x:v>Voix off intégrale : onglet Textes, V06.
Le budget : penser par postes</x:v>
      </x:c>
      <x:c r="K25" s="9" t="str">
        <x:v>Pour construire ton budget, distingue préparation, candidature, études, installation et dépenses courantes. Vérifie aussi les frais éventuels propres au programme. Si une preuve financière est requise pour ton dossier, son mode et son montant se vérifient séparément auprès de la source officielle applicable. Partage cette grille à la personne qui prépare ton budget avec toi.
Sources vérifiées le 21/09/2026 : [DAAD — budget](https://www.daad.de/en/studying-in-germany/living-in-germany/finances/) et [Make it in Germany — visa d’études](https://www.make-it-in-germany.com/en/visa-residence/types/studying).</x:v>
      </x:c>
      <x:c r="L25" s="9" t="str">
        <x:v>#AlmaGo #BudgetEtudiant #EtudierEnAllemagne #ProjetEtudes</x:v>
      </x:c>
      <x:c r="M25" s="9" t="str">
        <x:v>partager</x:v>
      </x:c>
      <x:c r="N25" s="9" t="str">
        <x:v>3–12 s — Préparer : langue · examens · documents » ; icônes.
12–22 s — Candidater · étudier · partir · s’installer » ; cartes sans chiffres.
22–31 s — Vivre : logement · alimentation · transport » ; tableau vierge.
31–40 s — Une fois / chaque mois » puis « Partage à la personne qui prépare le budget avec toi.</x:v>
      </x:c>
      <x:c r="O25" s="9" t="str">
        <x:v>Texte préparé ; visuel à produire</x:v>
      </x:c>
      <x:c r="P25" s="9" t="str">
        <x:v>Éducatif</x:v>
      </x:c>
      <x:c r="Q25" s="9" t="str">
        <x:v>https://www.make-it-in-germany.com/en/visa-residence/types/studying
https://www.daad.de/en/studying-in-germany/living-in-germany/finances/</x:v>
      </x:c>
      <x:c r="R25" s="9" t="str">
        <x:v>21/09/2026 ; recontrôler avant diffusion</x:v>
      </x:c>
    </x:row>
    <x:row r="26" ht="340" customHeight="1">
      <x:c r="A26" s="10" t="n">
        <x:v>10</x:v>
      </x:c>
      <x:c r="B26" s="14" t="n">
        <x:f>'Calendrier'!$B$4+A26-1</x:f>
        <x:v>46302</x:v>
      </x:c>
      <x:c r="C26" s="17" t="n">
        <x:v>0.8541666666666666</x:v>
      </x:c>
      <x:c r="D26" s="10" t="str">
        <x:v>TikTok</x:v>
      </x:c>
      <x:c r="E26" s="10" t="str">
        <x:v>V06</x:v>
      </x:c>
      <x:c r="F26" s="10" t="str">
        <x:v>Vidéo verticale</x:v>
      </x:c>
      <x:c r="G26" s="10" t="str">
        <x:v>Le budget : penser par postes</x:v>
      </x:c>
      <x:c r="H26" s="10" t="str">
        <x:v>Français + tunisien</x:v>
      </x:c>
      <x:c r="I26" s="10" t="str">
        <x:v>حسبت ميزانية القراية؟ قسّمها قبل ما تجمعها.</x:v>
      </x:c>
      <x:c r="J26" s="10" t="str">
        <x:v>Voix off intégrale : onglet Textes, V06.
Le budget : penser par postes</x:v>
      </x:c>
      <x:c r="K26" s="10" t="str">
        <x:v>المصاريف موش الكلّ تتعاود كل شهر. قسّم ميزانيتك، وبعد عمّرها بمبالغ متثبّت منها حسب مشروعك. ابعث الفيديو للشخص اللي يحضّر الميزانية معاك.
Sources vérifiées le 21/09/2026 : [DAAD — budget](https://www.daad.de/en/studying-in-germany/living-in-germany/finances/) et [Make it in Germany — visa d’études](https://www.make-it-in-germany.com/en/visa-residence/types/studying).</x:v>
      </x:c>
      <x:c r="L26" s="10" t="str">
        <x:v>#AlmaGo #ميزانية_طالب #قراية_في_ألمانيا #طلبة_تونس</x:v>
      </x:c>
      <x:c r="M26" s="10" t="str">
        <x:v>partager</x:v>
      </x:c>
      <x:c r="N26" s="10" t="str">
        <x:v>3–12 s — Préparer : langue · examens · documents » ; icônes.
12–22 s — Candidater · étudier · partir · s’installer » ; cartes sans chiffres.
22–31 s — Vivre : logement · alimentation · transport » ; tableau vierge.
31–40 s — Une fois / chaque mois » puis « Partage à la personne qui prépare le budget avec toi.</x:v>
      </x:c>
      <x:c r="O26" s="10" t="str">
        <x:v>Texte préparé ; visuel à produire</x:v>
      </x:c>
      <x:c r="P26" s="10" t="str">
        <x:v>Éducatif</x:v>
      </x:c>
      <x:c r="Q26" s="10" t="str">
        <x:v>https://www.make-it-in-germany.com/en/visa-residence/types/studying
https://www.daad.de/en/studying-in-germany/living-in-germany/finances/</x:v>
      </x:c>
      <x:c r="R26" s="10" t="str">
        <x:v>21/09/2026 ; recontrôler avant diffusion</x:v>
      </x:c>
    </x:row>
    <x:row r="27" ht="340" customHeight="1">
      <x:c r="A27" s="9" t="n">
        <x:v>10</x:v>
      </x:c>
      <x:c r="B27" s="13" t="n">
        <x:f>'Calendrier'!$B$4+A27-1</x:f>
        <x:v>46302</x:v>
      </x:c>
      <x:c r="C27" s="16" t="n">
        <x:v>0.7708333333333334</x:v>
      </x:c>
      <x:c r="D27" s="9" t="str">
        <x:v>Facebook</x:v>
      </x:c>
      <x:c r="E27" s="9" t="str">
        <x:v>V06</x:v>
      </x:c>
      <x:c r="F27" s="9" t="str">
        <x:v>Vidéo verticale</x:v>
      </x:c>
      <x:c r="G27" s="9" t="str">
        <x:v>Le budget : penser par postes</x:v>
      </x:c>
      <x:c r="H27" s="9" t="str">
        <x:v>Français + tunisien</x:v>
      </x:c>
      <x:c r="I27" s="9" t="str">
        <x:v>Ton budget d’études dépasse la seule candidature.</x:v>
      </x:c>
      <x:c r="J27" s="9" t="str">
        <x:v>Voix off intégrale : onglet Textes, V06.
Le budget : penser par postes</x:v>
      </x:c>
      <x:c r="K27" s="9" t="str">
        <x:v>Séparez les dépenses de préparation, d’études et d’installation des dépenses mensuelles. Les frais du programme, le logement et le mode de vie doivent être vérifiés pour le projet concerné. Cette grille ne remplace pas les exigences officielles de preuve financière. Partagez-la avec la personne qui construit le budget avec vous.
Sources vérifiées le 21/09/2026 : [DAAD — budget](https://www.daad.de/en/studying-in-germany/living-in-germany/finances/) et [Make it in Germany — visa d’études](https://www.make-it-in-germany.com/en/visa-residence/types/studying).</x:v>
      </x:c>
      <x:c r="L27" s="9" t="str">
        <x:v>#AlmaGo #BudgetEtudiant #EtudesEnAllemagne</x:v>
      </x:c>
      <x:c r="M27" s="9" t="str">
        <x:v>partager</x:v>
      </x:c>
      <x:c r="N27" s="9" t="str">
        <x:v>3–12 s — Préparer : langue · examens · documents » ; icônes.
12–22 s — Candidater · étudier · partir · s’installer » ; cartes sans chiffres.
22–31 s — Vivre : logement · alimentation · transport » ; tableau vierge.
31–40 s — Une fois / chaque mois » puis « Partage à la personne qui prépare le budget avec toi.</x:v>
      </x:c>
      <x:c r="O27" s="9" t="str">
        <x:v>Texte préparé ; visuel à produire</x:v>
      </x:c>
      <x:c r="P27" s="9" t="str">
        <x:v>Éducatif</x:v>
      </x:c>
      <x:c r="Q27" s="9" t="str">
        <x:v>https://www.make-it-in-germany.com/en/visa-residence/types/studying
https://www.daad.de/en/studying-in-germany/living-in-germany/finances/</x:v>
      </x:c>
      <x:c r="R27" s="9" t="str">
        <x:v>21/09/2026 ; recontrôler avant diffusion</x:v>
      </x:c>
    </x:row>
    <x:row r="28" ht="340" customHeight="1">
      <x:c r="A28" s="10" t="n">
        <x:v>11</x:v>
      </x:c>
      <x:c r="B28" s="14" t="n">
        <x:f>'Calendrier'!$B$4+A28-1</x:f>
        <x:v>46303</x:v>
      </x:c>
      <x:c r="C28" s="17" t="n">
        <x:v>0.7916666666666666</x:v>
      </x:c>
      <x:c r="D28" s="10" t="str">
        <x:v>Instagram</x:v>
      </x:c>
      <x:c r="E28" s="10" t="str">
        <x:v>C05</x:v>
      </x:c>
      <x:c r="F28" s="10" t="str">
        <x:v>Carrousel / album</x:v>
      </x:c>
      <x:c r="G28" s="10" t="str">
        <x:v>Budget : pense aussi à l'installation</x:v>
      </x:c>
      <x:c r="H28" s="10" t="str">
        <x:v>Français + tunisien</x:v>
      </x:c>
      <x:c r="I28" s="10" t="str">
        <x:v>Ton budget ne s'arrête pas au loyer.
Prépare aussi ton installation.
الميزانية موش كان الكراء.
احسب زادة مصاريف الاستقرار في الأوّل.</x:v>
      </x:c>
      <x:c r="J28" s="10" t="str">
        <x:v>Slide 1
Ton budget ne s'arrête pas au loyer.
Prépare aussi ton installation.
الميزانية موش كان الكراء.
احسب زادة مصاريف الاستقرار في الأوّل.
Toutes les slides : onglet Textes, C05.</x:v>
      </x:c>
      <x:c r="K28" s="10" t="str">
        <x:v>Tu compares deux villes ? Compare aussi ce qu'il faudra payer avant le départ, à l'arrivée et pendant les études.
الكراء وحدو ما يعطيكش الميزانية الكاملة. دوّن كل مصروف ووقتاش يلزمك تخلّصو.
Ce carrousel est une base d'organisation. Les dépenses dépendent notamment de la ville, du logement, du programme et de ta situation. Un budget de vie ne remplace pas les exigences officielles de justification des ressources pour un visa.
📌 Sauvegarde ces rubriques pour construire ton budget personnel.
Sources consultées le 21/09/2026 : DAAD — Budget : https://www.daad.de/en/studying-in-germany/living-in-germany/finances/ · DAAD — Logement : https://www.daad.de/en/studying-in-germany/living-in-germany/renting/ · Portail fédéral — Visa études : https://www.make-it-in-germany.com/en/visa-residence/types/studying.</x:v>
      </x:c>
      <x:c r="L28" s="10" t="str">
        <x:v>#AlmaGo #BudgetEtudiant #VieEtudiante #EtudierEnAllemagne</x:v>
      </x:c>
      <x:c r="M28" s="10" t="str">
        <x:v>enregistrer.</x:v>
      </x:c>
      <x:c r="N28" s="10" t="str">
        <x:v>trois tiroirs « départ / installation / régulier », pictogrammes d'appartement, valise, courses et transport ; mini-tableau sans montants. Pas de prix d'appel, de logement représenté comme disponible ou de budget « suffisant pour tous ».</x:v>
      </x:c>
      <x:c r="O28" s="10" t="str">
        <x:v>Texte préparé ; visuel à produire</x:v>
      </x:c>
      <x:c r="P28" s="10" t="str">
        <x:v>Éducatif</x:v>
      </x:c>
      <x:c r="Q28" s="10" t="str">
        <x:v>https://www.make-it-in-germany.com/en/visa-residence/types/studying
https://www.daad.de/en/studying-in-germany/living-in-germany/finances/
https://www.daad.de/en/studying-in-germany/living-in-germany/renting/</x:v>
      </x:c>
      <x:c r="R28" s="10" t="str">
        <x:v>21/09/2026 ; recontrôler avant diffusion</x:v>
      </x:c>
    </x:row>
    <x:row r="29" ht="340" customHeight="1">
      <x:c r="A29" s="9" t="n">
        <x:v>11</x:v>
      </x:c>
      <x:c r="B29" s="13" t="n">
        <x:f>'Calendrier'!$B$4+A29-1</x:f>
        <x:v>46303</x:v>
      </x:c>
      <x:c r="C29" s="16" t="n">
        <x:v>0.7708333333333334</x:v>
      </x:c>
      <x:c r="D29" s="9" t="str">
        <x:v>Facebook</x:v>
      </x:c>
      <x:c r="E29" s="9" t="str">
        <x:v>C05</x:v>
      </x:c>
      <x:c r="F29" s="9" t="str">
        <x:v>Carrousel / album</x:v>
      </x:c>
      <x:c r="G29" s="9" t="str">
        <x:v>Budget : pense aussi à l'installation</x:v>
      </x:c>
      <x:c r="H29" s="9" t="str">
        <x:v>Français + tunisien</x:v>
      </x:c>
      <x:c r="I29" s="9" t="str">
        <x:v>Ton budget ne s'arrête pas au loyer.
Prépare aussi ton installation.
الميزانية موش كان الكراء.
احسب زادة مصاريف الاستقرار في الأوّل.</x:v>
      </x:c>
      <x:c r="J29" s="9" t="str">
        <x:v>Slide 1
Ton budget ne s'arrête pas au loyer.
Prépare aussi ton installation.
الميزانية موش كان الكراء.
احسب زادة مصاريف الاستقرار في الأوّل.
Toutes les slides : onglet Textes, C05.</x:v>
      </x:c>
      <x:c r="K29" s="9" t="str">
        <x:v>Pour préparer un projet d'études en famille, le calendrier des dépenses compte autant que leur total. Certaines sommes concernent les préparatifs, d'autres l'installation ou la vie courante.
Le carrousel propose des rubriques de départ, sans montant universel. Complétez-les avec les informations du programme choisi, les offres de logement vérifiées et les tarifs applicables à la situation de l'étudiant. Les justificatifs de ressources demandés pour le visa doivent être vérifiés séparément auprès des autorités compétentes.
قَسّموا الميزانية مع ولدكم ولا بنتكم: قبل السفر، وقت الوصول وبعد الاستقرار. هكّا تولّي المصاريف ومواعيدها أوضح.
Enregistrez cette publication comme support à votre prochaine discussion sur le budget.
Sources consultées le 21/09/2026 : DAAD — Budget : https://www.daad.de/en/studying-in-germany/living-in-germany/finances/ · DAAD — Logement : https://www.daad.de/en/studying-in-germany/living-in-germany/renting/ · Portail fédéral — Visa études : https://www.make-it-in-germany.com/en/visa-residence/types/studying.</x:v>
      </x:c>
      <x:c r="L29" s="9" t="str">
        <x:v>#AlmaGo #BudgetEtudiant #ParentsTunisiens</x:v>
      </x:c>
      <x:c r="M29" s="9" t="str">
        <x:v>enregistrer.</x:v>
      </x:c>
      <x:c r="N29" s="9" t="str">
        <x:v>trois tiroirs « départ / installation / régulier », pictogrammes d'appartement, valise, courses et transport ; mini-tableau sans montants. Pas de prix d'appel, de logement représenté comme disponible ou de budget « suffisant pour tous ».</x:v>
      </x:c>
      <x:c r="O29" s="9" t="str">
        <x:v>Texte préparé ; visuel à produire</x:v>
      </x:c>
      <x:c r="P29" s="9" t="str">
        <x:v>Éducatif</x:v>
      </x:c>
      <x:c r="Q29" s="9" t="str">
        <x:v>https://www.make-it-in-germany.com/en/visa-residence/types/studying
https://www.daad.de/en/studying-in-germany/living-in-germany/finances/
https://www.daad.de/en/studying-in-germany/living-in-germany/renting/</x:v>
      </x:c>
      <x:c r="R29" s="9" t="str">
        <x:v>21/09/2026 ; recontrôler avant diffusion</x:v>
      </x:c>
    </x:row>
    <x:row r="30" ht="340" customHeight="1">
      <x:c r="A30" s="10" t="n">
        <x:v>12</x:v>
      </x:c>
      <x:c r="B30" s="14" t="n">
        <x:f>'Calendrier'!$B$4+A30-1</x:f>
        <x:v>46304</x:v>
      </x:c>
      <x:c r="C30" s="17" t="n">
        <x:v>0.7916666666666666</x:v>
      </x:c>
      <x:c r="D30" s="10" t="str">
        <x:v>Instagram</x:v>
      </x:c>
      <x:c r="E30" s="10" t="str">
        <x:v>V07</x:v>
      </x:c>
      <x:c r="F30" s="10" t="str">
        <x:v>Vidéo verticale</x:v>
      </x:c>
      <x:c r="G30" s="10" t="str">
        <x:v>Le calendrier : trois erreurs évitables</x:v>
      </x:c>
      <x:c r="H30" s="10" t="str">
        <x:v>Français + tunisien</x:v>
      </x:c>
      <x:c r="I30" s="10" t="str">
        <x:v>Trois erreurs qui fragilisent ton calendrier de candidature.</x:v>
      </x:c>
      <x:c r="J30" s="10" t="str">
        <x:v>Voix off intégrale : onglet Textes, V07.
Le calendrier : trois erreurs évitables</x:v>
      </x:c>
      <x:c r="K30" s="10" t="str">
        <x:v>Une date sans programme, sans session et sans contexte peut t’induire en erreur. Prépare un calendrier où chaque étape possède sa propre échéance vérifiée et sa source. Prévois aussi le travail nécessaire en amont. Sauvegarde cette méthode pour ton planning.
Source vérifiée le 21/09/2026 : [uni-assist — planifier la candidature](https://www.uni-assist.de/en/faqs/plan-your-application/).</x:v>
      </x:c>
      <x:c r="L30" s="10" t="str">
        <x:v>#AlmaGo #CandidatureUniversitaire #OrganisationEtudiante #EtudierEnAllemagne</x:v>
      </x:c>
      <x:c r="M30" s="10" t="str">
        <x:v>sauvegarder</x:v>
      </x:c>
      <x:c r="N30" s="10" t="str">
        <x:v>3–13 s — 1. Copier une ancienne date » ; carte barrée « ancienne capture ».
13–23 s — 2. Oublier la préparation » ; documents → preuve de langue → dépôt.
23–32 s — 3. Confondre les étapes » ; trois lignes distinctes, pas de délai universel.
32–40 s — Étape · échéance · source » puis CTA.</x:v>
      </x:c>
      <x:c r="O30" s="10" t="str">
        <x:v>Texte préparé ; visuel à produire</x:v>
      </x:c>
      <x:c r="P30" s="10" t="str">
        <x:v>Éducatif</x:v>
      </x:c>
      <x:c r="Q30" s="10" t="str">
        <x:v>https://www.uni-assist.de/en/faqs/plan-your-application/</x:v>
      </x:c>
      <x:c r="R30" s="10" t="str">
        <x:v>21/09/2026 ; recontrôler avant diffusion</x:v>
      </x:c>
    </x:row>
    <x:row r="31" ht="340" customHeight="1">
      <x:c r="A31" s="9" t="n">
        <x:v>12</x:v>
      </x:c>
      <x:c r="B31" s="13" t="n">
        <x:f>'Calendrier'!$B$4+A31-1</x:f>
        <x:v>46304</x:v>
      </x:c>
      <x:c r="C31" s="16" t="n">
        <x:v>0.8541666666666666</x:v>
      </x:c>
      <x:c r="D31" s="9" t="str">
        <x:v>TikTok</x:v>
      </x:c>
      <x:c r="E31" s="9" t="str">
        <x:v>V07</x:v>
      </x:c>
      <x:c r="F31" s="9" t="str">
        <x:v>Vidéo verticale</x:v>
      </x:c>
      <x:c r="G31" s="9" t="str">
        <x:v>Le calendrier : trois erreurs évitables</x:v>
      </x:c>
      <x:c r="H31" s="9" t="str">
        <x:v>Français + tunisien</x:v>
      </x:c>
      <x:c r="I31" s="9" t="str">
        <x:v>عندك deadline؟ ما تستنّاش لآخر نهار.</x:v>
      </x:c>
      <x:c r="J31" s="9" t="str">
        <x:v>Voix off intégrale : onglet Textes, V07.
Le calendrier : trois erreurs évitables</x:v>
      </x:c>
      <x:c r="K31" s="9" t="str">
        <x:v>موش كل deadline تلقاها تنطبق عليك. البرنامج، الدورة ونوع الترشّح يهمّوا. احفظ الفيديو باش تنظّم المراحل ومصادرها.
Source vérifiée le 21/09/2026 : [uni-assist — planifier la candidature](https://www.uni-assist.de/en/faqs/plan-your-application/).</x:v>
      </x:c>
      <x:c r="L31" s="9" t="str">
        <x:v>#AlmaGo #قراية_في_ألمانيا #Candidature #طلبة_تونس</x:v>
      </x:c>
      <x:c r="M31" s="9" t="str">
        <x:v>sauvegarder</x:v>
      </x:c>
      <x:c r="N31" s="9" t="str">
        <x:v>3–13 s — 1. Copier une ancienne date » ; carte barrée « ancienne capture ».
13–23 s — 2. Oublier la préparation » ; documents → preuve de langue → dépôt.
23–32 s — 3. Confondre les étapes » ; trois lignes distinctes, pas de délai universel.
32–40 s — Étape · échéance · source » puis CTA.</x:v>
      </x:c>
      <x:c r="O31" s="9" t="str">
        <x:v>Texte préparé ; visuel à produire</x:v>
      </x:c>
      <x:c r="P31" s="9" t="str">
        <x:v>Éducatif</x:v>
      </x:c>
      <x:c r="Q31" s="9" t="str">
        <x:v>https://www.uni-assist.de/en/faqs/plan-your-application/</x:v>
      </x:c>
      <x:c r="R31" s="9" t="str">
        <x:v>21/09/2026 ; recontrôler avant diffusion</x:v>
      </x:c>
    </x:row>
    <x:row r="32" ht="340" customHeight="1">
      <x:c r="A32" s="10" t="n">
        <x:v>13</x:v>
      </x:c>
      <x:c r="B32" s="14" t="n">
        <x:f>'Calendrier'!$B$4+A32-1</x:f>
        <x:v>46305</x:v>
      </x:c>
      <x:c r="C32" s="17" t="n">
        <x:v>0.7916666666666666</x:v>
      </x:c>
      <x:c r="D32" s="10" t="str">
        <x:v>Instagram</x:v>
      </x:c>
      <x:c r="E32" s="10" t="str">
        <x:v>C06</x:v>
      </x:c>
      <x:c r="F32" s="10" t="str">
        <x:v>Carrousel / album</x:v>
      </x:c>
      <x:c r="G32" s="10" t="str">
        <x:v>Parents et étudiants : parlons du projet ensemble</x:v>
      </x:c>
      <x:c r="H32" s="10" t="str">
        <x:v>Français + tunisien</x:v>
      </x:c>
      <x:c r="I32" s="10" t="str">
        <x:v>Étudier en Allemagne : une discussion à avoir ensemble.
Étudiant·e + parents.
مشروع القراية في ألمانيا: نحكيو عليه مع بعضنا.
الطالب ولا الطالبة + العايلة.</x:v>
      </x:c>
      <x:c r="J32" s="10" t="str">
        <x:v>Slide 1
Étudier en Allemagne : une discussion à avoir ensemble.
Étudiant·e + parents.
مشروع القراية في ألمانيا: نحكيو عليه مع بعضنا.
الطالب ولا الطالبة + العايلة.
Toutes les slides : onglet Textes, C06.</x:v>
      </x:c>
      <x:c r="K32" s="10" t="str">
        <x:v>Tu prépares ton projet, et ta famille a aussi des questions ? Commencez par les écrire ensemble. Pas besoin d'avoir toutes les réponses le même jour.
إنت عندك مشروع، وعايلتك عندها أسئلة. خذوا وقت تحكيو واختاروا خطوة واضحة تبدأوا بيها.
Quel thème veux-tu voir dans un prochain contenu AlmaGo : langue, candidature, budget ou logement ? Écris le thème en commentaire, sans publier de documents ni de données personnelles.</x:v>
      </x:c>
      <x:c r="L32" s="10" t="str">
        <x:v>#AlmaGo #ProjetEtudes #EtudiantsTunisiens #EtudesEnAllemagne</x:v>
      </x:c>
      <x:c r="M32" s="10" t="str">
        <x:v>commentaire sur un thème, sans solliciter de dossier public.</x:v>
      </x:c>
      <x:c r="N32" s="10" t="str">
        <x:v>deux bulles de dialogue sans portrait, bureau avec carnet fictif, liste « nos questions », quatre cartes de sujets. Pas de photos de famille ni de faux avis. Le graphisme représente la discussion, sans présumer qui décide à la place de l'étudiant.</x:v>
      </x:c>
      <x:c r="O32" s="10" t="str">
        <x:v>Texte préparé ; visuel à produire</x:v>
      </x:c>
      <x:c r="P32" s="10" t="str">
        <x:v>Confiance</x:v>
      </x:c>
      <x:c r="Q32" s="10" t="str"/>
      <x:c r="R32" s="10" t="str">
        <x:v>21/09/2026 ; recontrôler avant diffusion</x:v>
      </x:c>
    </x:row>
    <x:row r="33" ht="340" customHeight="1">
      <x:c r="A33" s="9" t="n">
        <x:v>13</x:v>
      </x:c>
      <x:c r="B33" s="13" t="n">
        <x:f>'Calendrier'!$B$4+A33-1</x:f>
        <x:v>46305</x:v>
      </x:c>
      <x:c r="C33" s="16" t="n">
        <x:v>0.7708333333333334</x:v>
      </x:c>
      <x:c r="D33" s="9" t="str">
        <x:v>Facebook</x:v>
      </x:c>
      <x:c r="E33" s="9" t="str">
        <x:v>C06</x:v>
      </x:c>
      <x:c r="F33" s="9" t="str">
        <x:v>Carrousel / album</x:v>
      </x:c>
      <x:c r="G33" s="9" t="str">
        <x:v>Parents et étudiants : parlons du projet ensemble</x:v>
      </x:c>
      <x:c r="H33" s="9" t="str">
        <x:v>Français + tunisien</x:v>
      </x:c>
      <x:c r="I33" s="9" t="str">
        <x:v>Étudier en Allemagne : une discussion à avoir ensemble.
Étudiant·e + parents.
مشروع القراية في ألمانيا: نحكيو عليه مع بعضنا.
الطالب ولا الطالبة + العايلة.</x:v>
      </x:c>
      <x:c r="J33" s="9" t="str">
        <x:v>Slide 1
Étudier en Allemagne : une discussion à avoir ensemble.
Étudiant·e + parents.
مشروع القراية في ألمانيا: نحكيو عليه مع بعضنا.
الطالب ولا الطالبة + العايلة.
Toutes les slides : onglet Textes, C06.</x:v>
      </x:c>
      <x:c r="K33" s="9" t="str">
        <x:v>Accompagner son enfant dans un projet d'études en Allemagne commence souvent par une discussion : ce qu'il souhaite étudier, ce que la famille veut comprendre et les informations encore à vérifier.
Ce carrousel vous propose une façon simple de préparer cet échange. Choisissez ensuite une petite action concrète, par exemple vérifier la langue d'un programme ou lister les dépenses à prévoir.
موش لازم تلقاو كل الإجابات في نهار واحد. المهم تسمعوا لبعضكم وتتّفقوا على الخطوة الجاية.
Quel sujet souhaitez-vous qu'AlmaGo explique dans une prochaine publication : langue, candidature, budget ou logement ? Indiquez seulement le thème en commentaire, sans données personnelles.</x:v>
      </x:c>
      <x:c r="L33" s="9" t="str">
        <x:v>#AlmaGo #ParentsTunisiens #EtudesEnAllemagne</x:v>
      </x:c>
      <x:c r="M33" s="9" t="str">
        <x:v>commentaire sur un thème, sans solliciter de dossier public.</x:v>
      </x:c>
      <x:c r="N33" s="9" t="str">
        <x:v>deux bulles de dialogue sans portrait, bureau avec carnet fictif, liste « nos questions », quatre cartes de sujets. Pas de photos de famille ni de faux avis. Le graphisme représente la discussion, sans présumer qui décide à la place de l'étudiant.</x:v>
      </x:c>
      <x:c r="O33" s="9" t="str">
        <x:v>Texte préparé ; visuel à produire</x:v>
      </x:c>
      <x:c r="P33" s="9" t="str">
        <x:v>Confiance</x:v>
      </x:c>
      <x:c r="Q33" s="9" t="str"/>
      <x:c r="R33" s="9" t="str">
        <x:v>21/09/2026 ; recontrôler avant diffusion</x:v>
      </x:c>
    </x:row>
    <x:row r="34" ht="340" customHeight="1">
      <x:c r="A34" s="10" t="n">
        <x:v>14</x:v>
      </x:c>
      <x:c r="B34" s="14" t="n">
        <x:f>'Calendrier'!$B$4+A34-1</x:f>
        <x:v>46306</x:v>
      </x:c>
      <x:c r="C34" s="17" t="n">
        <x:v>0.7916666666666666</x:v>
      </x:c>
      <x:c r="D34" s="10" t="str">
        <x:v>Instagram</x:v>
      </x:c>
      <x:c r="E34" s="10" t="str">
        <x:v>V08</x:v>
      </x:c>
      <x:c r="F34" s="10" t="str">
        <x:v>Vidéo verticale</x:v>
      </x:c>
      <x:c r="G34" s="10" t="str">
        <x:v>Peut-on étudier en anglais ?</x:v>
      </x:c>
      <x:c r="H34" s="10" t="str">
        <x:v>Français + tunisien</x:v>
      </x:c>
      <x:c r="I34" s="10" t="str">
        <x:v>Étudier en anglais en Allemagne : possible selon le programme.</x:v>
      </x:c>
      <x:c r="J34" s="10" t="str">
        <x:v>Voix off intégrale : onglet Textes, V08.
Peut-on étudier en anglais ?</x:v>
      </x:c>
      <x:c r="K34" s="10" t="str">
        <x:v>Oui, il existe des programmes enseignés en anglais. Leur disponibilité et leurs exigences dépendent du domaine, du niveau et de l’établissement. Vérifie la langue exacte d’enseignement et les justificatifs demandés sur la page du programme. Abonne-toi pour apprendre à lire ces critères.
Source vérifiée le 21/09/2026 : [uni-assist — langues et justificatifs](https://www.uni-assist.de/en/how-to-apply/assemble-your-documents/language-certificates/).</x:v>
      </x:c>
      <x:c r="L34" s="10" t="str">
        <x:v>#AlmaGo #EtudierEnAllemagne #EtudesEnAnglais #OrientationEtudiante</x:v>
      </x:c>
      <x:c r="M34" s="10" t="str">
        <x:v>s’abonner</x:v>
      </x:c>
      <x:c r="N34" s="10" t="str">
        <x:v>3–13 s — Domaine · niveau · conditions » ; recherche illustrative sans résultat inventé.
13–24 s — Vérifier : langue d’enseignement + preuves exigées » ; zoom de maquette.
24–31 s — Vie quotidienne ≠ critère d’admission » ; pictogrammes courses et transport.
31–37 s — Abonne-toi pour décrypter les programmes.</x:v>
      </x:c>
      <x:c r="O34" s="10" t="str">
        <x:v>Texte préparé ; visuel à produire</x:v>
      </x:c>
      <x:c r="P34" s="10" t="str">
        <x:v>Éducatif</x:v>
      </x:c>
      <x:c r="Q34" s="10" t="str">
        <x:v>https://www.uni-assist.de/en/how-to-apply/assemble-your-documents/language-certificates/</x:v>
      </x:c>
      <x:c r="R34" s="10" t="str">
        <x:v>21/09/2026 ; recontrôler avant diffusion</x:v>
      </x:c>
    </x:row>
    <x:row r="35" ht="340" customHeight="1">
      <x:c r="A35" s="9" t="n">
        <x:v>14</x:v>
      </x:c>
      <x:c r="B35" s="13" t="n">
        <x:f>'Calendrier'!$B$4+A35-1</x:f>
        <x:v>46306</x:v>
      </x:c>
      <x:c r="C35" s="16" t="n">
        <x:v>0.8541666666666666</x:v>
      </x:c>
      <x:c r="D35" s="9" t="str">
        <x:v>TikTok</x:v>
      </x:c>
      <x:c r="E35" s="9" t="str">
        <x:v>V08</x:v>
      </x:c>
      <x:c r="F35" s="9" t="str">
        <x:v>Vidéo verticale</x:v>
      </x:c>
      <x:c r="G35" s="9" t="str">
        <x:v>Peut-on étudier en anglais ?</x:v>
      </x:c>
      <x:c r="H35" s="9" t="str">
        <x:v>Français + tunisien</x:v>
      </x:c>
      <x:c r="I35" s="9" t="str">
        <x:v>تنجم تقرى بالإنجليزية في ألمانيا؟ إي، حسب البرنامج.</x:v>
      </x:c>
      <x:c r="J35" s="9" t="str">
        <x:v>Voix off intégrale : onglet Textes, V08.
Peut-on étudier en anglais ?</x:v>
      </x:c>
      <x:c r="K35" s="9" t="str">
        <x:v>البرنامج بالإنجليزية؟ باهي، أمّا شوف شروط اللغة والإثبات المطلوب على صفحتو الرسمية. تابع AlmaGo باش تفهم كيفاش تختار وتثبت.
Source vérifiée le 21/09/2026 : [uni-assist — langues et justificatifs](https://www.uni-assist.de/en/how-to-apply/assemble-your-documents/language-certificates/).</x:v>
      </x:c>
      <x:c r="L35" s="9" t="str">
        <x:v>#AlmaGo #قراية_في_ألمانيا #EtudesEnAnglais #طلبة_تونس</x:v>
      </x:c>
      <x:c r="M35" s="9" t="str">
        <x:v>s’abonner</x:v>
      </x:c>
      <x:c r="N35" s="9" t="str">
        <x:v>3–13 s — Domaine · niveau · conditions » ; recherche illustrative sans résultat inventé.
13–24 s — Vérifier : langue d’enseignement + preuves exigées » ; zoom de maquette.
24–31 s — Vie quotidienne ≠ critère d’admission » ; pictogrammes courses et transport.
31–37 s — Abonne-toi pour décrypter les programmes.</x:v>
      </x:c>
      <x:c r="O35" s="9" t="str">
        <x:v>Texte préparé ; visuel à produire</x:v>
      </x:c>
      <x:c r="P35" s="9" t="str">
        <x:v>Éducatif</x:v>
      </x:c>
      <x:c r="Q35" s="9" t="str">
        <x:v>https://www.uni-assist.de/en/how-to-apply/assemble-your-documents/language-certificates/</x:v>
      </x:c>
      <x:c r="R35" s="9" t="str">
        <x:v>21/09/2026 ; recontrôler avant diffusion</x:v>
      </x:c>
    </x:row>
    <x:row r="36" ht="340" customHeight="1">
      <x:c r="A36" s="10" t="n">
        <x:v>14</x:v>
      </x:c>
      <x:c r="B36" s="14" t="n">
        <x:f>'Calendrier'!$B$4+A36-1</x:f>
        <x:v>46306</x:v>
      </x:c>
      <x:c r="C36" s="17" t="n">
        <x:v>0.7708333333333334</x:v>
      </x:c>
      <x:c r="D36" s="10" t="str">
        <x:v>Facebook</x:v>
      </x:c>
      <x:c r="E36" s="10" t="str">
        <x:v>V08</x:v>
      </x:c>
      <x:c r="F36" s="10" t="str">
        <x:v>Vidéo verticale</x:v>
      </x:c>
      <x:c r="G36" s="10" t="str">
        <x:v>Peut-on étudier en anglais ?</x:v>
      </x:c>
      <x:c r="H36" s="10" t="str">
        <x:v>Français + tunisien</x:v>
      </x:c>
      <x:c r="I36" s="10" t="str">
        <x:v>Étudier en anglais en Allemagne : possible selon le programme.</x:v>
      </x:c>
      <x:c r="J36" s="10" t="str">
        <x:v>Voix off intégrale : onglet Textes, V08.
Peut-on étudier en anglais ?</x:v>
      </x:c>
      <x:c r="K36" s="10" t="str">
        <x:v>Des programmes en anglais existent en Allemagne. Il faut vérifier leur adéquation avec le parcours de l’étudiant, leur langue d’enseignement et les preuves linguistiques demandées. Apprendre l’allemand peut aussi aider au quotidien ; les critères d’admission restent ceux du programme. Abonnez-vous pour suivre nos repères d’orientation.
Source vérifiée le 21/09/2026 : [uni-assist — langues et justificatifs](https://www.uni-assist.de/en/how-to-apply/assemble-your-documents/language-certificates/).</x:v>
      </x:c>
      <x:c r="L36" s="10" t="str">
        <x:v>#AlmaGo #EtudesEnAllemagne #EtudesEnAnglais</x:v>
      </x:c>
      <x:c r="M36" s="10" t="str">
        <x:v>s’abonner</x:v>
      </x:c>
      <x:c r="N36" s="10" t="str">
        <x:v>3–13 s — Domaine · niveau · conditions » ; recherche illustrative sans résultat inventé.
13–24 s — Vérifier : langue d’enseignement + preuves exigées » ; zoom de maquette.
24–31 s — Vie quotidienne ≠ critère d’admission » ; pictogrammes courses et transport.
31–37 s — Abonne-toi pour décrypter les programmes.</x:v>
      </x:c>
      <x:c r="O36" s="10" t="str">
        <x:v>Texte préparé ; visuel à produire</x:v>
      </x:c>
      <x:c r="P36" s="10" t="str">
        <x:v>Éducatif</x:v>
      </x:c>
      <x:c r="Q36" s="10" t="str">
        <x:v>https://www.uni-assist.de/en/how-to-apply/assemble-your-documents/language-certificates/</x:v>
      </x:c>
      <x:c r="R36" s="10" t="str">
        <x:v>21/09/2026 ; recontrôler avant diffusion</x:v>
      </x:c>
    </x:row>
  </x:sheetData>
  <x:dataValidations count="1">
    <x:dataValidation type="list" sqref="O5:O36">
      <x:formula1>"Texte préparé ; visuel à produire,Offre / méthode à confirmer,À produire,À valider,Programmé,Publié"</x:formula1>
    </x:dataValidation>
  </x:dataValidations>
  <x:pageMargins left="0.7" right="0.7" top="0.75" bottom="0.75" header="0.3" footer="0.3"/>
  <x:tableParts count="1">
    <x:tablePart xmlns:r="http://schemas.openxmlformats.org/officeDocument/2006/relationships" r:id="R1a84de57914c462f"/>
  </x:tableParts>
</x:worksheet>
</file>

<file path=xl/worksheets/sheet3.xml><?xml version="1.0" encoding="utf-8"?>
<x:worksheet xmlns:x="http://schemas.openxmlformats.org/spreadsheetml/2006/main">
  <x:sheetPr>
    <x:tabColor rgb="FF176B5B"/>
  </x:sheetPr>
  <x:sheetViews>
    <x:sheetView showGridLines="0" workbookViewId="0">
      <x:pane ySplit="4" topLeftCell="A5" activePane="bottomLeft" state="frozen"/>
    </x:sheetView>
  </x:sheetViews>
  <x:sheetFormatPr defaultRowHeight="15"/>
  <x:cols>
    <x:col min="1" max="1" width="8.130000114440918" hidden="0" customWidth="1"/>
    <x:col min="2" max="2" width="13.130000114440918" hidden="0" customWidth="1"/>
    <x:col min="3" max="3" width="15" hidden="0" customWidth="1"/>
    <x:col min="4" max="4" width="108.75" hidden="0" customWidth="1"/>
    <x:col min="5" max="5" width="77.5" hidden="0" customWidth="1"/>
    <x:col min="6" max="6" width="78.75" hidden="0" customWidth="1"/>
    <x:col min="7" max="7" width="52.5" hidden="0" customWidth="1"/>
    <x:col min="8" max="8" width="71.25" hidden="0" customWidth="1"/>
  </x:cols>
  <x:sheetData>
    <x:row r="1" ht="28" customHeight="1">
      <x:c r="A1" s="2" t="str">
        <x:v>Scripts complets et slides</x:v>
      </x:c>
      <x:c r="B1" s="1"/>
      <x:c r="C1" s="1"/>
      <x:c r="D1" s="1"/>
      <x:c r="E1" s="1"/>
      <x:c r="F1" s="1"/>
      <x:c r="G1" s="1"/>
      <x:c r="H1" s="1"/>
    </x:row>
    <x:row r="2">
      <x:c r="A2" s="3" t="str">
        <x:v>Choisir le hook de la plateforme dans Publications, puis enregistrer la voix off. Les durées sont à tester à la lecture.</x:v>
      </x:c>
      <x:c r="B2" s="1"/>
      <x:c r="C2" s="1"/>
      <x:c r="D2" s="1"/>
      <x:c r="E2" s="1"/>
      <x:c r="F2" s="1"/>
      <x:c r="G2" s="1"/>
      <x:c r="H2" s="1"/>
    </x:row>
    <x:row r="3">
      <x:c r="A3" s="1"/>
      <x:c r="B3" s="1"/>
      <x:c r="C3" s="1"/>
      <x:c r="D3" s="1"/>
      <x:c r="E3" s="1"/>
      <x:c r="F3" s="1"/>
      <x:c r="G3" s="1"/>
      <x:c r="H3" s="1"/>
    </x:row>
    <x:row r="4" ht="36" customHeight="1">
      <x:c r="A4" s="7" t="str">
        <x:v>ID</x:v>
      </x:c>
      <x:c r="B4" s="7" t="str">
        <x:v>Format</x:v>
      </x:c>
      <x:c r="C4" s="7" t="str">
        <x:v>Segment / durée</x:v>
      </x:c>
      <x:c r="D4" s="7" t="str">
        <x:v>Texte intégral</x:v>
      </x:c>
      <x:c r="E4" s="7" t="str">
        <x:v>Texte écran</x:v>
      </x:c>
      <x:c r="F4" s="7" t="str">
        <x:v>Montage / visuel</x:v>
      </x:c>
      <x:c r="G4" s="7" t="str">
        <x:v>Points à vérifier</x:v>
      </x:c>
      <x:c r="H4" s="7" t="str">
        <x:v>Sources officielles</x:v>
      </x:c>
    </x:row>
    <x:row r="5" ht="290" customHeight="1">
      <x:c r="A5" s="9" t="str">
        <x:v>V01</x:v>
      </x:c>
      <x:c r="B5" s="9" t="str">
        <x:v>Vidéo</x:v>
      </x:c>
      <x:c r="C5" s="9" t="str">
        <x:v>38–42 s</x:v>
      </x:c>
      <x:c r="D5" s="9" t="str">
        <x:v>أوّل حاجة: توّا وين وصلت في قرايتك؟ باك، طالب في الجامعة، وإلا عندك ديبلوم؟
ثاني حاجة: شنوة المجال والمستوى اللي تحب تقراهم؟ حدّد هدفك، موش كان اسم البلاد.
ثالث حاجة: شنوة مستواك في الألمانية والإنجليزية؟ وعندك شهادة لغة وإلا مازال؟
ورابع حاجة: شنوة الميزانية والوقت اللي تنجم تخصّصهم للتحضير؟
هكّا تبدأ منظّم. وبعد، تثبّت في شروط كل برنامج. احفظ الفيديو وارجعلو كي تحضّر بروفيلك.</x:v>
      </x:c>
      <x:c r="E5" s="9" t="str">
        <x:v>3–10 s — 1. Ton parcours actuel » puis « Bac · études en cours · diplôme
10–17 s — 2. Ton projet d’études
17–24 s — 3. Langues + certificats
24–31 s — 4. Budget + préparation
31–38 s — Les conditions dépendent du programme. » puis « Sauvegarde ce point de départ.</x:v>
      </x:c>
      <x:c r="F5" s="9" t="str">
        <x:v>3–10 s — Trois cartes se déploient, aucune case précochée.
10–17 s — Un champ fictif « Domaine / niveau visé » se remplit avec des mots génériques.
17–24 s — Deux cartes « Deutsch » et « English », sans niveau minimum affiché.
24–31 s — Icônes portefeuille et calendrier vide.
31–38 s — Les quatre cartes forment une fiche ; fin sur petit logo AlmaGo.</x:v>
      </x:c>
      <x:c r="G5" s="9" t="str">
        <x:v>prêt pour enregistrement après validation éditoriale. Aucun diagnostic individuel ni condition générale d’admission annoncés.</x:v>
      </x:c>
      <x:c r="H5" s="9" t="str">
        <x:v>https://www.daad.de/en/studying-in-germany/requirements/admission-database/</x:v>
      </x:c>
    </x:row>
    <x:row r="6" ht="290" customHeight="1">
      <x:c r="A6" s="10" t="str">
        <x:v>C01</x:v>
      </x:c>
      <x:c r="B6" s="10" t="str">
        <x:v>Carrousel</x:v>
      </x:c>
      <x:c r="C6" s="10" t="str">
        <x:v>Slide 1/7</x:v>
      </x:c>
      <x:c r="D6" s="10" t="str">
        <x:v>Slide 1
Ton projet commence ici.
Étudier en Allemagne, étape par étape.
تحب تقرى في ألمانيا؟
نبدأو خطوة بخطوة.</x:v>
      </x:c>
      <x:c r="E6" s="10" t="str"/>
      <x:c r="F6" s="10" t="str">
        <x:v>Slide 1 : Un tracé entre deux repères « Tunisie » et « Allemagne », logo AlmaGo, aucun drapeau géant.</x:v>
      </x:c>
      <x:c r="G6" s="10" t="str">
        <x:v>Sources générales vérifiées le 21/09/2026 ; recontrôle avant publication. vérifier la présentation générale des parcours auprès du DAAD ; vérifier les procédures de candidature auprès de l'établissement ou d'uni-assist ; vérifier les informations de visa auprès de l'Ambassade d'Allemagne à Tunis. Ne pas ajouter de seuil, date ou certificat universel.</x:v>
      </x:c>
      <x:c r="H6" s="10" t="str">
        <x:v>https://tunis.diplo.de/tn-fr/service/05-visaeinreise/1672716-1672716
https://www.make-it-in-germany.com/en/visa-residence/types/studying
https://www.daad.de/en/studying-in-germany/living-in-germany/finances/
https://www.uni-assist.de/en/faqs/get-information/
https://www.uni-assist.de/en/how-to-apply/plan-your-application/vpd/
https://www.uni-assist.de/en/faqs/plan-your-application/
https://www.daad.de/en/studying-in-germany/requirements/admission-database/</x:v>
      </x:c>
    </x:row>
    <x:row r="7" ht="290" customHeight="1">
      <x:c r="A7" s="9" t="str">
        <x:v>C01</x:v>
      </x:c>
      <x:c r="B7" s="9" t="str">
        <x:v>Carrousel</x:v>
      </x:c>
      <x:c r="C7" s="9" t="str">
        <x:v>Slide 2/7</x:v>
      </x:c>
      <x:c r="D7" s="9" t="str">
        <x:v>Slide 2
1. Clarifie ton projet.
Quelle formation ? Quel niveau ? Quelle rentrée visée ?
أوّل حاجة: وضّح مشروعك.
شنوّة تحب تقرى؟ في أي مستوى؟ ووقتاش تحب تبدأ؟</x:v>
      </x:c>
      <x:c r="E7" s="9" t="str"/>
      <x:c r="F7" s="9" t="str">
        <x:v>Slide 2 : Trois cartes : formation, niveau, rentrée.</x:v>
      </x:c>
      <x:c r="G7" s="9" t="str">
        <x:v>Sources générales vérifiées le 21/09/2026 ; recontrôle avant publication. vérifier la présentation générale des parcours auprès du DAAD ; vérifier les procédures de candidature auprès de l'établissement ou d'uni-assist ; vérifier les informations de visa auprès de l'Ambassade d'Allemagne à Tunis. Ne pas ajouter de seuil, date ou certificat universel.</x:v>
      </x:c>
      <x:c r="H7" s="9" t="str">
        <x:v>https://tunis.diplo.de/tn-fr/service/05-visaeinreise/1672716-1672716
https://www.make-it-in-germany.com/en/visa-residence/types/studying
https://www.daad.de/en/studying-in-germany/living-in-germany/finances/
https://www.uni-assist.de/en/faqs/get-information/
https://www.uni-assist.de/en/how-to-apply/plan-your-application/vpd/
https://www.uni-assist.de/en/faqs/plan-your-application/
https://www.daad.de/en/studying-in-germany/requirements/admission-database/</x:v>
      </x:c>
    </x:row>
    <x:row r="8" ht="290" customHeight="1">
      <x:c r="A8" s="10" t="str">
        <x:v>C01</x:v>
      </x:c>
      <x:c r="B8" s="10" t="str">
        <x:v>Carrousel</x:v>
      </x:c>
      <x:c r="C8" s="10" t="str">
        <x:v>Slide 3/7</x:v>
      </x:c>
      <x:c r="D8" s="10" t="str">
        <x:v>Slide 3
2. Vérifie l'accès au programme.
Ton parcours et les critères de la formation déterminent les options à étudier.
ثبّت في شروط الترشّح.
المسار متاعك وشروط التكوين يحدّدوا الاختيارات اللي تنجم تبحث فيها.</x:v>
      </x:c>
      <x:c r="E8" s="10" t="str"/>
      <x:c r="F8" s="10" t="str">
        <x:v>Slide 3 : Loupe sur une fiche de programme fictive ; champs « parcours » et « critères ».</x:v>
      </x:c>
      <x:c r="G8" s="10" t="str">
        <x:v>Sources générales vérifiées le 21/09/2026 ; recontrôle avant publication. vérifier la présentation générale des parcours auprès du DAAD ; vérifier les procédures de candidature auprès de l'établissement ou d'uni-assist ; vérifier les informations de visa auprès de l'Ambassade d'Allemagne à Tunis. Ne pas ajouter de seuil, date ou certificat universel.</x:v>
      </x:c>
      <x:c r="H8" s="10" t="str">
        <x:v>https://tunis.diplo.de/tn-fr/service/05-visaeinreise/1672716-1672716
https://www.make-it-in-germany.com/en/visa-residence/types/studying
https://www.daad.de/en/studying-in-germany/living-in-germany/finances/
https://www.uni-assist.de/en/faqs/get-information/
https://www.uni-assist.de/en/how-to-apply/plan-your-application/vpd/
https://www.uni-assist.de/en/faqs/plan-your-application/
https://www.daad.de/en/studying-in-germany/requirements/admission-database/</x:v>
      </x:c>
    </x:row>
    <x:row r="9" ht="290" customHeight="1">
      <x:c r="A9" s="9" t="str">
        <x:v>C01</x:v>
      </x:c>
      <x:c r="B9" s="9" t="str">
        <x:v>Carrousel</x:v>
      </x:c>
      <x:c r="C9" s="9" t="str">
        <x:v>Slide 4/7</x:v>
      </x:c>
      <x:c r="D9" s="9" t="str">
        <x:v>Slide 4
3. Vérifie la langue demandée.
Langue, niveau et justificatif accepté : consulte le programme précis.
ثبّت في اللغة المطلوبة.
اللغة والمستوى والشهادة المقبولة: تلقاهم في شروط التكوين اللي اخترتو.</x:v>
      </x:c>
      <x:c r="E9" s="9" t="str"/>
      <x:c r="F9" s="9" t="str">
        <x:v>Slide 4 : Deux onglets « Deutsch » et « English » sans attribuer un niveau universel.</x:v>
      </x:c>
      <x:c r="G9" s="9" t="str">
        <x:v>Sources générales vérifiées le 21/09/2026 ; recontrôle avant publication. vérifier la présentation générale des parcours auprès du DAAD ; vérifier les procédures de candidature auprès de l'établissement ou d'uni-assist ; vérifier les informations de visa auprès de l'Ambassade d'Allemagne à Tunis. Ne pas ajouter de seuil, date ou certificat universel.</x:v>
      </x:c>
      <x:c r="H9" s="9" t="str">
        <x:v>https://tunis.diplo.de/tn-fr/service/05-visaeinreise/1672716-1672716
https://www.make-it-in-germany.com/en/visa-residence/types/studying
https://www.daad.de/en/studying-in-germany/living-in-germany/finances/
https://www.uni-assist.de/en/faqs/get-information/
https://www.uni-assist.de/en/how-to-apply/plan-your-application/vpd/
https://www.uni-assist.de/en/faqs/plan-your-application/
https://www.daad.de/en/studying-in-germany/requirements/admission-database/</x:v>
      </x:c>
    </x:row>
    <x:row r="10" ht="290" customHeight="1">
      <x:c r="A10" s="10" t="str">
        <x:v>C01</x:v>
      </x:c>
      <x:c r="B10" s="10" t="str">
        <x:v>Carrousel</x:v>
      </x:c>
      <x:c r="C10" s="10" t="str">
        <x:v>Slide 5/7</x:v>
      </x:c>
      <x:c r="D10" s="10" t="str">
        <x:v>Slide 5
4. Organise la candidature.
Documents, procédure et échéance : fais une liste pour chaque programme.
نظّم ملف الترشّح.
لكل تكوين: الوثائق، طريقة الترشّح وآخر أجل.</x:v>
      </x:c>
      <x:c r="E10" s="10" t="str"/>
      <x:c r="F10" s="10" t="str">
        <x:v>Slide 5 : Trois dossiers fictifs, chacun avec sa propre liste et une case date vide.</x:v>
      </x:c>
      <x:c r="G10" s="10" t="str">
        <x:v>Sources générales vérifiées le 21/09/2026 ; recontrôle avant publication. vérifier la présentation générale des parcours auprès du DAAD ; vérifier les procédures de candidature auprès de l'établissement ou d'uni-assist ; vérifier les informations de visa auprès de l'Ambassade d'Allemagne à Tunis. Ne pas ajouter de seuil, date ou certificat universel.</x:v>
      </x:c>
      <x:c r="H10" s="10" t="str">
        <x:v>https://tunis.diplo.de/tn-fr/service/05-visaeinreise/1672716-1672716
https://www.make-it-in-germany.com/en/visa-residence/types/studying
https://www.daad.de/en/studying-in-germany/living-in-germany/finances/
https://www.uni-assist.de/en/faqs/get-information/
https://www.uni-assist.de/en/how-to-apply/plan-your-application/vpd/
https://www.uni-assist.de/en/faqs/plan-your-application/
https://www.daad.de/en/studying-in-germany/requirements/admission-database/</x:v>
      </x:c>
    </x:row>
    <x:row r="11" ht="290" customHeight="1">
      <x:c r="A11" s="9" t="str">
        <x:v>C01</x:v>
      </x:c>
      <x:c r="B11" s="9" t="str">
        <x:v>Carrousel</x:v>
      </x:c>
      <x:c r="C11" s="9" t="str">
        <x:v>Slide 6/7</x:v>
      </x:c>
      <x:c r="D11" s="9" t="str">
        <x:v>Slide 6
5. Prépare la suite à temps.
Vérifie la procédure de visa et prépare ton budget et ton logement. Ces démarches peuvent se préparer en parallèle.
حضّر للمرحلة الجاية من بكري.
ثبّت في إجراءات الفيزا وحضّر الميزانية والسكن. تنجم تحضّر للحاجات هاذم في نفس الوقت.</x:v>
      </x:c>
      <x:c r="E11" s="9" t="str"/>
      <x:c r="F11" s="9" t="str">
        <x:v>Slide 6 : Trois cartes reliées : visa, budget, logement ; pas de tampon « accepté ».</x:v>
      </x:c>
      <x:c r="G11" s="9" t="str">
        <x:v>Sources générales vérifiées le 21/09/2026 ; recontrôle avant publication. vérifier la présentation générale des parcours auprès du DAAD ; vérifier les procédures de candidature auprès de l'établissement ou d'uni-assist ; vérifier les informations de visa auprès de l'Ambassade d'Allemagne à Tunis. Ne pas ajouter de seuil, date ou certificat universel.</x:v>
      </x:c>
      <x:c r="H11" s="9" t="str">
        <x:v>https://tunis.diplo.de/tn-fr/service/05-visaeinreise/1672716-1672716
https://www.make-it-in-germany.com/en/visa-residence/types/studying
https://www.daad.de/en/studying-in-germany/living-in-germany/finances/
https://www.uni-assist.de/en/faqs/get-information/
https://www.uni-assist.de/en/how-to-apply/plan-your-application/vpd/
https://www.uni-assist.de/en/faqs/plan-your-application/
https://www.daad.de/en/studying-in-germany/requirements/admission-database/</x:v>
      </x:c>
    </x:row>
    <x:row r="12" ht="290" customHeight="1">
      <x:c r="A12" s="10" t="str">
        <x:v>C01</x:v>
      </x:c>
      <x:c r="B12" s="10" t="str">
        <x:v>Carrousel</x:v>
      </x:c>
      <x:c r="C12" s="10" t="str">
        <x:v>Slide 7/7</x:v>
      </x:c>
      <x:c r="D12" s="10" t="str">
        <x:v>Slide 7
Garde cette feuille de route.
Les exigences dépendent de ton profil, du programme et des règles en vigueur.
سجّل البوست وارجعلو.
الشروط تختلف حسب وضعيتك، التكوين والإجراءات المعمول بيها.</x:v>
      </x:c>
      <x:c r="E12" s="10" t="str"/>
      <x:c r="F12" s="10" t="str">
        <x:v>Slide 7 : Chemin récapitulatif et pictogramme de sauvegarde. Pied : « AlmaGo · Étudier en Allemagne, étape par étape. »</x:v>
      </x:c>
      <x:c r="G12" s="10" t="str">
        <x:v>Sources générales vérifiées le 21/09/2026 ; recontrôle avant publication. vérifier la présentation générale des parcours auprès du DAAD ; vérifier les procédures de candidature auprès de l'établissement ou d'uni-assist ; vérifier les informations de visa auprès de l'Ambassade d'Allemagne à Tunis. Ne pas ajouter de seuil, date ou certificat universel.</x:v>
      </x:c>
      <x:c r="H12" s="10" t="str">
        <x:v>https://tunis.diplo.de/tn-fr/service/05-visaeinreise/1672716-1672716
https://www.make-it-in-germany.com/en/visa-residence/types/studying
https://www.daad.de/en/studying-in-germany/living-in-germany/finances/
https://www.uni-assist.de/en/faqs/get-information/
https://www.uni-assist.de/en/how-to-apply/plan-your-application/vpd/
https://www.uni-assist.de/en/faqs/plan-your-application/
https://www.daad.de/en/studying-in-germany/requirements/admission-database/</x:v>
      </x:c>
    </x:row>
    <x:row r="13" ht="290" customHeight="1">
      <x:c r="A13" s="9" t="str">
        <x:v>V02</x:v>
      </x:c>
      <x:c r="B13" s="9" t="str">
        <x:v>Vidéo</x:v>
      </x:c>
      <x:c r="C13" s="9" t="str">
        <x:v>38–42 s</x:v>
      </x:c>
      <x:c r="D13" s="9" t="str">
        <x:v>قبل ما تختار امتحان، حلّ الصفحة الرسمية للبرنامج اللي يهمّك.
شوف لغة التدريس، المستوى المطلوب، وشنوة الشهادات المقبولة. هاذم ثلاثة أسئلة مختلفين.
وزيد تثبّت وقتاش لازم تقدّم الإثبات. ما تعتمدش على شرط شفتو في برنامج آخر.
ما فماش مستوى واحد ولا شهادة واحدة نعتبروها مقبولة في كل البرامج.
قبل ما تخلّص امتحان، راجع الشروط. ابعث الفيديو لصاحبك اللي يحضّر في اللغة.</x:v>
      </x:c>
      <x:c r="E13" s="9" t="str">
        <x:v>3–10 s — 1. Ouvre la page officielle du programme.
10–18 s — Langue d’enseignement ? / Niveau ? / Certificat accepté ?
18–26 s — 2. Vérifie quand fournir la preuve.
26–33 s — Les exigences varient selon le programme.
33–40 s — Partage à quelqu’un qui prépare sa langue.</x:v>
      </x:c>
      <x:c r="F13" s="9" t="str">
        <x:v>3–10 s — Navigation sur une page officielle vérifiée ou maquette neutre clairement signalée.
10–18 s — Les trois questions apparaissent successivement.
18–26 s — Zoom sur la rubrique des exigences linguistiques ; aucune date inventée.
26–33 s — Plusieurs fiches de programmes, critères différents symbolisés sans chiffres.
33–40 s — Carte récapitulative puis logo discret.</x:v>
      </x:c>
      <x:c r="G13" s="9" t="str">
        <x:v>S09 vérifiée le 21/09/2026. Valider toute capture contre la page du programme au jour de la publication. Ne pas ajouter « B2 obligatoire partout » ou une liste d’examens réputés universellement acceptés.</x:v>
      </x:c>
      <x:c r="H13" s="9" t="str">
        <x:v>https://www.uni-assist.de/en/how-to-apply/assemble-your-documents/language-certificates/</x:v>
      </x:c>
    </x:row>
    <x:row r="14" ht="290" customHeight="1">
      <x:c r="A14" s="10" t="str">
        <x:v>C02</x:v>
      </x:c>
      <x:c r="B14" s="10" t="str">
        <x:v>Carrousel</x:v>
      </x:c>
      <x:c r="C14" s="10" t="str">
        <x:v>Slide 1/6</x:v>
      </x:c>
      <x:c r="D14" s="10" t="str">
        <x:v>Slide 1
Dossier : une base, pas une liste universelle.
Une formation = des consignes à vérifier.
ملف الترشّح: موش نفس القائمة للناس الكلّ.
كل تكوين عندو تعليمات يلزم تثبّت فيها.</x:v>
      </x:c>
      <x:c r="E14" s="10" t="str"/>
      <x:c r="F14" s="10" t="str">
        <x:v>Slide 1 : Deux dossiers aux listes différentes.</x:v>
      </x:c>
      <x:c r="G14" s="10" t="str">
        <x:v>Sources générales vérifiées le 21/09/2026 ; recontrôle avant publication. vérifier les règles générales auprès d'uni-assist, notamment les documents, les traductions et les copies certifiées ; toute précision propre à la Tunisie doit être contrôlée sur la page pays correspondante et auprès du programme. Aucun formulaire fictif ne doit être présenté comme officiel.</x:v>
      </x:c>
      <x:c r="H14" s="10" t="str">
        <x:v>https://www.uni-assist.de/en/how-to-apply/assemble-your-documents/educational-certificates/
https://www.uni-assist.de/en/how-to-apply/assemble-your-documents/translations/
https://www.uni-assist.de/en/faqs/assemble-your-documents/
https://www.uni-assist.de/en/tools/info-country-by-country/details-country/country/tn/</x:v>
      </x:c>
    </x:row>
    <x:row r="15" ht="290" customHeight="1">
      <x:c r="A15" s="9" t="str">
        <x:v>C02</x:v>
      </x:c>
      <x:c r="B15" s="9" t="str">
        <x:v>Carrousel</x:v>
      </x:c>
      <x:c r="C15" s="9" t="str">
        <x:v>Slide 2/6</x:v>
      </x:c>
      <x:c r="D15" s="9" t="str">
        <x:v>Slide 2
Pars de la bonne source.
Lis la page officielle du programme et la procédure indiquée par l'établissement.
ابدأ بالمصدر الصحيح.
اقرا الصفحة الرسمية متاع التكوين وطريقة الترشّح اللي تحدّدها المؤسسة.</x:v>
      </x:c>
      <x:c r="E15" s="9" t="str"/>
      <x:c r="F15" s="9" t="str">
        <x:v>Slide 2 : Fenêtre web fictive « Programme choisi / Admission ». Ne pas imiter une vraie page officielle.</x:v>
      </x:c>
      <x:c r="G15" s="9" t="str">
        <x:v>Sources générales vérifiées le 21/09/2026 ; recontrôle avant publication. vérifier les règles générales auprès d'uni-assist, notamment les documents, les traductions et les copies certifiées ; toute précision propre à la Tunisie doit être contrôlée sur la page pays correspondante et auprès du programme. Aucun formulaire fictif ne doit être présenté comme officiel.</x:v>
      </x:c>
      <x:c r="H15" s="9" t="str">
        <x:v>https://www.uni-assist.de/en/how-to-apply/assemble-your-documents/educational-certificates/
https://www.uni-assist.de/en/how-to-apply/assemble-your-documents/translations/
https://www.uni-assist.de/en/faqs/assemble-your-documents/
https://www.uni-assist.de/en/tools/info-country-by-country/details-country/country/tn/</x:v>
      </x:c>
    </x:row>
    <x:row r="16" ht="290" customHeight="1">
      <x:c r="A16" s="10" t="str">
        <x:v>C02</x:v>
      </x:c>
      <x:c r="B16" s="10" t="str">
        <x:v>Carrousel</x:v>
      </x:c>
      <x:c r="C16" s="10" t="str">
        <x:v>Slide 3/6</x:v>
      </x:c>
      <x:c r="D16" s="10" t="str">
        <x:v>Slide 3
Repère les pièces demandées.
Exemples possibles : diplôme, relevés, justificatif de langue, CV. La liste exacte reste à vérifier.
حدّد الوثائق المطلوبة.
ينجموا يطلبوا ديبلوم، كشوفات أعداد، شهادة لغة ولا CV. القائمة الصحيحة يلزم تثبّت فيها.</x:v>
      </x:c>
      <x:c r="E16" s="10" t="str"/>
      <x:c r="F16" s="10" t="str">
        <x:v>Slide 3 : Quatre fiches portant la mention « EXEMPLES ».</x:v>
      </x:c>
      <x:c r="G16" s="10" t="str">
        <x:v>Sources générales vérifiées le 21/09/2026 ; recontrôle avant publication. vérifier les règles générales auprès d'uni-assist, notamment les documents, les traductions et les copies certifiées ; toute précision propre à la Tunisie doit être contrôlée sur la page pays correspondante et auprès du programme. Aucun formulaire fictif ne doit être présenté comme officiel.</x:v>
      </x:c>
      <x:c r="H16" s="10" t="str">
        <x:v>https://www.uni-assist.de/en/how-to-apply/assemble-your-documents/educational-certificates/
https://www.uni-assist.de/en/how-to-apply/assemble-your-documents/translations/
https://www.uni-assist.de/en/faqs/assemble-your-documents/
https://www.uni-assist.de/en/tools/info-country-by-country/details-country/country/tn/</x:v>
      </x:c>
    </x:row>
    <x:row r="17" ht="290" customHeight="1">
      <x:c r="A17" s="9" t="str">
        <x:v>C02</x:v>
      </x:c>
      <x:c r="B17" s="9" t="str">
        <x:v>Carrousel</x:v>
      </x:c>
      <x:c r="C17" s="9" t="str">
        <x:v>Slide 4/6</x:v>
      </x:c>
      <x:c r="D17" s="9" t="str">
        <x:v>Slide 4
Traduction et certification : vérifie avant de payer.
Langue, traducteur et forme des copies : suis les consignes applicables à ton dossier.
قبل ما تخلّص ترجمة ولا نسخ مصادق عليها، ثبّت.
شنوّة اللغة المطلوبة؟ شكون ينجم يترجم؟ وبأي صيغة يلزم تقدّم الوثائق؟</x:v>
      </x:c>
      <x:c r="E17" s="9" t="str"/>
      <x:c r="F17" s="9" t="str">
        <x:v>Slide 4 : Document fictif avec trois étiquettes : langue, traduction, copie.</x:v>
      </x:c>
      <x:c r="G17" s="9" t="str">
        <x:v>Sources générales vérifiées le 21/09/2026 ; recontrôle avant publication. vérifier les règles générales auprès d'uni-assist, notamment les documents, les traductions et les copies certifiées ; toute précision propre à la Tunisie doit être contrôlée sur la page pays correspondante et auprès du programme. Aucun formulaire fictif ne doit être présenté comme officiel.</x:v>
      </x:c>
      <x:c r="H17" s="9" t="str">
        <x:v>https://www.uni-assist.de/en/how-to-apply/assemble-your-documents/educational-certificates/
https://www.uni-assist.de/en/how-to-apply/assemble-your-documents/translations/
https://www.uni-assist.de/en/faqs/assemble-your-documents/
https://www.uni-assist.de/en/tools/info-country-by-country/details-country/country/tn/</x:v>
      </x:c>
    </x:row>
    <x:row r="18" ht="290" customHeight="1">
      <x:c r="A18" s="10" t="str">
        <x:v>C02</x:v>
      </x:c>
      <x:c r="B18" s="10" t="str">
        <x:v>Carrousel</x:v>
      </x:c>
      <x:c r="C18" s="10" t="str">
        <x:v>Slide 5/6</x:v>
      </x:c>
      <x:c r="D18" s="10" t="str">
        <x:v>Slide 5
La date fait partie du dossier.
Note l'échéance et les éventuelles étapes préalables propres au programme.
آخر أجل جزء من التحضير.
دوّن آخر أجل وأي مرحلة يلزم تكمّلها قبل الترشّح للتكوين اللي اخترتو.</x:v>
      </x:c>
      <x:c r="E18" s="10" t="str"/>
      <x:c r="F18" s="10" t="str">
        <x:v>Slide 5 : Calendrier vierge et cases à cocher ; aucune échéance inventée.</x:v>
      </x:c>
      <x:c r="G18" s="10" t="str">
        <x:v>Sources générales vérifiées le 21/09/2026 ; recontrôle avant publication. vérifier les règles générales auprès d'uni-assist, notamment les documents, les traductions et les copies certifiées ; toute précision propre à la Tunisie doit être contrôlée sur la page pays correspondante et auprès du programme. Aucun formulaire fictif ne doit être présenté comme officiel.</x:v>
      </x:c>
      <x:c r="H18" s="10" t="str">
        <x:v>https://www.uni-assist.de/en/how-to-apply/assemble-your-documents/educational-certificates/
https://www.uni-assist.de/en/how-to-apply/assemble-your-documents/translations/
https://www.uni-assist.de/en/faqs/assemble-your-documents/
https://www.uni-assist.de/en/tools/info-country-by-country/details-country/country/tn/</x:v>
      </x:c>
    </x:row>
    <x:row r="19" ht="290" customHeight="1">
      <x:c r="A19" s="9" t="str">
        <x:v>C02</x:v>
      </x:c>
      <x:c r="B19" s="9" t="str">
        <x:v>Carrousel</x:v>
      </x:c>
      <x:c r="C19" s="9" t="str">
        <x:v>Slide 6/6</x:v>
      </x:c>
      <x:c r="D19" s="9" t="str">
        <x:v>Slide 6
Ta prochaine action : une fiche par programme.
Source officielle • pièces • format • échéance.
Sauvegarde ce modèle.
الخطوة الجاية: ورقة لكل تكوين.
المصدر الرسمي • الوثائق • الصيغة • آخر أجل.
سجّل النموذج هذا.</x:v>
      </x:c>
      <x:c r="E19" s="9" t="str"/>
      <x:c r="F19" s="9" t="str">
        <x:v>Slide 6 : Fiche de suivi simple reprenant les quatre rubriques.</x:v>
      </x:c>
      <x:c r="G19" s="9" t="str">
        <x:v>Sources générales vérifiées le 21/09/2026 ; recontrôle avant publication. vérifier les règles générales auprès d'uni-assist, notamment les documents, les traductions et les copies certifiées ; toute précision propre à la Tunisie doit être contrôlée sur la page pays correspondante et auprès du programme. Aucun formulaire fictif ne doit être présenté comme officiel.</x:v>
      </x:c>
      <x:c r="H19" s="9" t="str">
        <x:v>https://www.uni-assist.de/en/how-to-apply/assemble-your-documents/educational-certificates/
https://www.uni-assist.de/en/how-to-apply/assemble-your-documents/translations/
https://www.uni-assist.de/en/faqs/assemble-your-documents/
https://www.uni-assist.de/en/tools/info-country-by-country/details-country/country/tn/</x:v>
      </x:c>
    </x:row>
    <x:row r="20" ht="290" customHeight="1">
      <x:c r="A20" s="10" t="str">
        <x:v>V03</x:v>
      </x:c>
      <x:c r="B20" s="10" t="str">
        <x:v>Vidéo</x:v>
      </x:c>
      <x:c r="C20" s="10" t="str">
        <x:v>32–38 s</x:v>
      </x:c>
      <x:c r="D20" s="10" t="str">
        <x:v>القبول والفيزا زوز قرارات مختلفين. الجامعة تقرّر في القبول، والسلطات المختصّة تقرّر في الفيزا.
والقبول وحدو ما يضمنش النتيجة. شروط الفيزا يلزم تتثبّت منها حسب وضعيتك، من المصدر الرسمي.
AlmaGo موش جهة رسمية، وما تنجمش تضمن ولا تأثّر على القرار.
القبول عند الجامعة، والفيزا عند السلطات المختصّة. تابع AlmaGo باش تفهم المراحل، خطوة بخطوة.</x:v>
      </x:c>
      <x:c r="E20" s="10" t="str">
        <x:v>3–11 s — Admission : université » / « Visa : autorités compétentes
11–20 s — Admission ≠ garantie de visa » / « Exigences officielles à vérifier
20–28 s — AlmaGo : agence d’accompagnement en préparation » / « Aucune garantie de décision
28–36 s — Université → admission » / « Autorités compétentes → visa » puis « Abonne-toi pour comprendre les étapes.</x:v>
      </x:c>
      <x:c r="F20" s="10" t="str">
        <x:v>3–11 s — Deux colonnes séparées, sans flèche laissant entendre une validation automatique.
11–20 s — Carte conceptuelle « Admission universitaire » puis écran « Démarche visa ». Aucun document, en-tête, nom, tampon ou élément évoquant une admission réelle.
20–28 s — Logo AlmaGo dans une troisième case, distincte des deux décideurs.
28–36 s — Maintenir les deux attributions lisibles avant le CTA.</x:v>
      </x:c>
      <x:c r="G20" s="10" t="str">
        <x:v>S01 et S02 vérifiées le 21/09/2026. Suivre le parcours actuel de l’Ambassade d’Allemagne à Tunis. Aucune liste exhaustive de pièces, aucun montant ni délai annoncés.</x:v>
      </x:c>
      <x:c r="H20" s="10" t="str">
        <x:v>https://tunis.diplo.de/tn-fr/service/05-visaeinreise/1672716-1672716
https://tunis.diplo.de/tn-fr/service/05-visaeinreise/2573172-2573172</x:v>
      </x:c>
    </x:row>
    <x:row r="21" ht="290" customHeight="1">
      <x:c r="A21" s="9" t="str">
        <x:v>C03</x:v>
      </x:c>
      <x:c r="B21" s="9" t="str">
        <x:v>Carrousel</x:v>
      </x:c>
      <x:c r="C21" s="9" t="str">
        <x:v>Slide 1/6</x:v>
      </x:c>
      <x:c r="D21" s="9" t="str">
        <x:v>Slide 1
L'accompagnement qu'AlmaGo prépare.
Et qui décide quoi.
المرافقة اللي AlmaGo قاعد يحضّر فيها.
وشكون ياخو القرارات؟</x:v>
      </x:c>
      <x:c r="E21" s="9" t="str"/>
      <x:c r="F21" s="9" t="str">
        <x:v>Slide 1 : Deux colonnes visuelles « Projet d'accompagnement » et « Décisions ».</x:v>
      </x:c>
      <x:c r="G21" s="9" t="str">
        <x:v>la version par défaut présente un projet en préparation et des services envisagés, sans annoncer une offre ouverte. Le propriétaire doit confirmer que la clarification du projet et l'organisation des démarches font partie du périmètre qu'il prépare ; sinon, corriger les slides 2 et 3. Aucun tarif, gratuité, délai de réponse, qualification ou résultat n'est sous-entendu. La variante après ouverture figure séparément plus bas et ne doit être utilisée qu'après confirmation du statut et des services. Le CTA WhatsApp du lancement est réservé au contenu commercial prévu dans le calendrier principal. Sources générales vérifiées le 21/09/2026 ; recontrôle avant publication. validation du propriétaire indispensable pour les services. Vérifier l'attribution des décisions auprès de l'établissement et de l'Ambassade d'Allemagne à Tunis. Aucun témoignage ni volume de clients n'est utilisé.</x:v>
      </x:c>
      <x:c r="H21" s="9" t="str"/>
    </x:row>
    <x:row r="22" ht="290" customHeight="1">
      <x:c r="A22" s="10" t="str">
        <x:v>C03</x:v>
      </x:c>
      <x:c r="B22" s="10" t="str">
        <x:v>Carrousel</x:v>
      </x:c>
      <x:c r="C22" s="10" t="str">
        <x:v>Slide 2/6</x:v>
      </x:c>
      <x:c r="D22" s="10" t="str">
        <x:v>Slide 2
Clarifier ton projet.
Un accompagnement envisagé pour faire le point sur ton parcours, ton objectif et les options à vérifier.
نحبّو نعاونُوك توضّح مشروعك.
المسار متاعك، الهدف والاختيارات اللي يلزم تتثبّت فيها.</x:v>
      </x:c>
      <x:c r="E22" s="10" t="str"/>
      <x:c r="F22" s="10" t="str">
        <x:v>Slide 2 : Carte projet avec trois champs fictifs : parcours, objectif, options.</x:v>
      </x:c>
      <x:c r="G22" s="10" t="str">
        <x:v>la version par défaut présente un projet en préparation et des services envisagés, sans annoncer une offre ouverte. Le propriétaire doit confirmer que la clarification du projet et l'organisation des démarches font partie du périmètre qu'il prépare ; sinon, corriger les slides 2 et 3. Aucun tarif, gratuité, délai de réponse, qualification ou résultat n'est sous-entendu. La variante après ouverture figure séparément plus bas et ne doit être utilisée qu'après confirmation du statut et des services. Le CTA WhatsApp du lancement est réservé au contenu commercial prévu dans le calendrier principal. Sources générales vérifiées le 21/09/2026 ; recontrôle avant publication. validation du propriétaire indispensable pour les services. Vérifier l'attribution des décisions auprès de l'établissement et de l'Ambassade d'Allemagne à Tunis. Aucun témoignage ni volume de clients n'est utilisé.</x:v>
      </x:c>
      <x:c r="H22" s="10" t="str"/>
    </x:row>
    <x:row r="23" ht="290" customHeight="1">
      <x:c r="A23" s="9" t="str">
        <x:v>C03</x:v>
      </x:c>
      <x:c r="B23" s="9" t="str">
        <x:v>Carrousel</x:v>
      </x:c>
      <x:c r="C23" s="9" t="str">
        <x:v>Slide 3/6</x:v>
      </x:c>
      <x:c r="D23" s="9" t="str">
        <x:v>Slide 3
Organiser les démarches.
Un appui envisagé pour suivre les exigences officielles, les documents et les échéances.
نحبّو نعاونُوك تنظّم الخطوات.
باش تتابع الشروط الرسمية، الوثائق والآجال.</x:v>
      </x:c>
      <x:c r="E23" s="9" t="str"/>
      <x:c r="F23" s="9" t="str">
        <x:v>Slide 3 : Tableau de suivi illustratif sans données clients.</x:v>
      </x:c>
      <x:c r="G23" s="9" t="str">
        <x:v>la version par défaut présente un projet en préparation et des services envisagés, sans annoncer une offre ouverte. Le propriétaire doit confirmer que la clarification du projet et l'organisation des démarches font partie du périmètre qu'il prépare ; sinon, corriger les slides 2 et 3. Aucun tarif, gratuité, délai de réponse, qualification ou résultat n'est sous-entendu. La variante après ouverture figure séparément plus bas et ne doit être utilisée qu'après confirmation du statut et des services. Le CTA WhatsApp du lancement est réservé au contenu commercial prévu dans le calendrier principal. Sources générales vérifiées le 21/09/2026 ; recontrôle avant publication. validation du propriétaire indispensable pour les services. Vérifier l'attribution des décisions auprès de l'établissement et de l'Ambassade d'Allemagne à Tunis. Aucun témoignage ni volume de clients n'est utilisé.</x:v>
      </x:c>
      <x:c r="H23" s="9" t="str"/>
    </x:row>
    <x:row r="24" ht="290" customHeight="1">
      <x:c r="A24" s="10" t="str">
        <x:v>C03</x:v>
      </x:c>
      <x:c r="B24" s="10" t="str">
        <x:v>Carrousel</x:v>
      </x:c>
      <x:c r="C24" s="10" t="str">
        <x:v>Slide 4/6</x:v>
      </x:c>
      <x:c r="D24" s="10" t="str">
        <x:v>Slide 4
L'admission : l'établissement décide.
AlmaGo ne garantit aucune admission.
قرار القبول عند المؤسسة التعليمية.
AlmaGo ما يضمنش القبول.</x:v>
      </x:c>
      <x:c r="E24" s="10" t="str"/>
      <x:c r="F24" s="10" t="str">
        <x:v>Slide 4 : Pictogramme d'établissement et cartouche « Décision d'admission ».</x:v>
      </x:c>
      <x:c r="G24" s="10" t="str">
        <x:v>la version par défaut présente un projet en préparation et des services envisagés, sans annoncer une offre ouverte. Le propriétaire doit confirmer que la clarification du projet et l'organisation des démarches font partie du périmètre qu'il prépare ; sinon, corriger les slides 2 et 3. Aucun tarif, gratuité, délai de réponse, qualification ou résultat n'est sous-entendu. La variante après ouverture figure séparément plus bas et ne doit être utilisée qu'après confirmation du statut et des services. Le CTA WhatsApp du lancement est réservé au contenu commercial prévu dans le calendrier principal. Sources générales vérifiées le 21/09/2026 ; recontrôle avant publication. validation du propriétaire indispensable pour les services. Vérifier l'attribution des décisions auprès de l'établissement et de l'Ambassade d'Allemagne à Tunis. Aucun témoignage ni volume de clients n'est utilisé.</x:v>
      </x:c>
      <x:c r="H24" s="10" t="str"/>
    </x:row>
    <x:row r="25" ht="290" customHeight="1">
      <x:c r="A25" s="9" t="str">
        <x:v>C03</x:v>
      </x:c>
      <x:c r="B25" s="9" t="str">
        <x:v>Carrousel</x:v>
      </x:c>
      <x:c r="C25" s="9" t="str">
        <x:v>Slide 5/6</x:v>
      </x:c>
      <x:c r="D25" s="9" t="str">
        <x:v>Slide 5
Le visa : les autorités compétentes décident.
AlmaGo ne garantit aucun visa ni logement.
قرار الفيزا عند السلطات المختصّة.
AlmaGo ما يضمنش الفيزا ولا السكن.</x:v>
      </x:c>
      <x:c r="E25" s="9" t="str"/>
      <x:c r="F25" s="9" t="str">
        <x:v>Slide 5 : Pictogrammes document et logement ; aucun sceau administratif.</x:v>
      </x:c>
      <x:c r="G25" s="9" t="str">
        <x:v>la version par défaut présente un projet en préparation et des services envisagés, sans annoncer une offre ouverte. Le propriétaire doit confirmer que la clarification du projet et l'organisation des démarches font partie du périmètre qu'il prépare ; sinon, corriger les slides 2 et 3. Aucun tarif, gratuité, délai de réponse, qualification ou résultat n'est sous-entendu. La variante après ouverture figure séparément plus bas et ne doit être utilisée qu'après confirmation du statut et des services. Le CTA WhatsApp du lancement est réservé au contenu commercial prévu dans le calendrier principal. Sources générales vérifiées le 21/09/2026 ; recontrôle avant publication. validation du propriétaire indispensable pour les services. Vérifier l'attribution des décisions auprès de l'établissement et de l'Ambassade d'Allemagne à Tunis. Aucun témoignage ni volume de clients n'est utilisé.</x:v>
      </x:c>
      <x:c r="H25" s="9" t="str"/>
    </x:row>
    <x:row r="26" ht="290" customHeight="1">
      <x:c r="A26" s="10" t="str">
        <x:v>C03</x:v>
      </x:c>
      <x:c r="B26" s="10" t="str">
        <x:v>Carrousel</x:v>
      </x:c>
      <x:c r="C26" s="10" t="str">
        <x:v>Slide 6/6</x:v>
      </x:c>
      <x:c r="D26" s="10" t="str">
        <x:v>Slide 6
Une question sur la méthode envisagée ?
Pose-la en commentaire, sans partager de données personnelles.
عندك سؤال على المرافقة اللي نحضّروا فيها؟
اكتبو في تعليق، من غير معلومات شخصية.</x:v>
      </x:c>
      <x:c r="E26" s="10" t="str"/>
      <x:c r="F26" s="10" t="str">
        <x:v>Slide 6 : Bulle de question sobre. Pied : « AlmaGo · Projet d'agence indépendante. »</x:v>
      </x:c>
      <x:c r="G26" s="10" t="str">
        <x:v>la version par défaut présente un projet en préparation et des services envisagés, sans annoncer une offre ouverte. Le propriétaire doit confirmer que la clarification du projet et l'organisation des démarches font partie du périmètre qu'il prépare ; sinon, corriger les slides 2 et 3. Aucun tarif, gratuité, délai de réponse, qualification ou résultat n'est sous-entendu. La variante après ouverture figure séparément plus bas et ne doit être utilisée qu'après confirmation du statut et des services. Le CTA WhatsApp du lancement est réservé au contenu commercial prévu dans le calendrier principal. Sources générales vérifiées le 21/09/2026 ; recontrôle avant publication. validation du propriétaire indispensable pour les services. Vérifier l'attribution des décisions auprès de l'établissement et de l'Ambassade d'Allemagne à Tunis. Aucun témoignage ni volume de clients n'est utilisé.</x:v>
      </x:c>
      <x:c r="H26" s="10" t="str"/>
    </x:row>
    <x:row r="27" ht="290" customHeight="1">
      <x:c r="A27" s="9" t="str">
        <x:v>V04</x:v>
      </x:c>
      <x:c r="B27" s="9" t="str">
        <x:v>Vidéo</x:v>
      </x:c>
      <x:c r="C27" s="9" t="str">
        <x:v>38–44 s</x:v>
      </x:c>
      <x:c r="D27" s="9" t="str">
        <x:v>Notre projet : partir de ton parcours, de ton objectif et de tes contraintes pour organiser la recherche.
Puis t’aider à repérer les exigences officielles des programmes et à structurer tes prochaines étapes.
Avant tout engagement, notre intention est de préciser les prestations, leur prix et leurs limites. L’offre finale sera annoncée au lancement.
الجامعة والسلطات المختصّة يبقاو أصحاب القرار. ما نوعدوش بنتيجة مضمونة.
تابع AlmaGo باش تعرف وقتاش تنطلق الخدمة وشنوة تشمل.</x:v>
      </x:c>
      <x:c r="E27" s="9" t="str">
        <x:v>3–12 s — 1. Comprendre ton projet » / « Méthode proposée, en préparation
12–21 s — 2. Vérifier les exigences » / « 3. Organiser les étapes
21–31 s — Prestations · prix · limites » / « Offre finale à annoncer
31–36 s — Aucune admission ni aucun visa garantis.
36–43 s — Abonne-toi pour suivre le lancement.</x:v>
      </x:c>
      <x:c r="F27" s="9" t="str">
        <x:v>3–12 s — Fiche profil fictive avec rubriques génériques.
12–21 s — Loupe sur une rubrique de source officielle puis checklist vide.
21–31 s — Trois cartes simples ; aucun tarif ni prestation contractuelle inventés.
31–36 s — Carte calme sans cadenas, label « certifié » ou tampon officiel.
36–43 s — Logo AlmaGo et slogan, sans coordonnées fictives.</x:v>
      </x:c>
      <x:c r="G27" s="9" t="str">
        <x:v>propriétaire à valider — méthode envisagée et engagements sur la présentation des prestations, prix et limites. Cette vidéo ne montre aucun « dossier client », avis, résultat ou historique inventé. Les CTA WhatsApp sont réservés aux stories commerciales du planning, après activation d’un contact vérifié.</x:v>
      </x:c>
      <x:c r="H27" s="9" t="str"/>
    </x:row>
    <x:row r="28" ht="290" customHeight="1">
      <x:c r="A28" s="10" t="str">
        <x:v>V05</x:v>
      </x:c>
      <x:c r="B28" s="10" t="str">
        <x:v>Vidéo</x:v>
      </x:c>
      <x:c r="C28" s="10" t="str">
        <x:v>38–45 s</x:v>
      </x:c>
      <x:c r="D28" s="10" t="str">
        <x:v>Commence par la page officielle du programme. Selon le cas, tu peux devoir candidater directement auprès de l’université ou passer par uni-assist.
Certains établissements demandent une VPD, la Vorprüfungsdokumentation : une évaluation préalable délivrée par uni-assist. Ensuite, tu dois encore candidater auprès de l’université selon ses consignes.
Une VPD n’est pas une admission. القرار في القبول يبقى عند الجامعة.
Vérifie donc la procédure, les pièces et les échéances de ton programme. Sauvegarde ce repère avant de déposer.</x:v>
      </x:c>
      <x:c r="E28" s="10" t="str">
        <x:v>3–13 s — Programme → procédure officielle » ; capture vérifiée.
13–26 s — VPD = évaluation préalable » puis « Candidature à l’université à effectuer ». Diagramme, pas de documents réels.
26–34 s — VPD ≠ admission » / « Admission : université ».
34–42 s — Procédure · pièces · échéances » puis CTA.</x:v>
      </x:c>
      <x:c r="F28" s="10" t="str">
        <x:v>3–13 s — Programme → procédure officielle » ; capture vérifiée.
13–26 s — VPD = évaluation préalable » puis « Candidature à l’université à effectuer ». Diagramme, pas de documents réels.
26–34 s — VPD ≠ admission » / « Admission : université ».
34–42 s — Procédure · pièces · échéances » puis CTA.</x:v>
      </x:c>
      <x:c r="G28" s="10" t="str">
        <x:v>S04 et S05 vérifiées le 21/09/2026 ; captures et consignes du programme à actualiser avant publication. Ne jamais présenter ce schéma comme la procédure de tous les candidats.</x:v>
      </x:c>
      <x:c r="H28" s="10" t="str">
        <x:v>https://www.uni-assist.de/en/faqs/get-information/
https://www.uni-assist.de/en/how-to-apply/plan-your-application/vpd/</x:v>
      </x:c>
    </x:row>
    <x:row r="29" ht="290" customHeight="1">
      <x:c r="A29" s="9" t="str">
        <x:v>C04</x:v>
      </x:c>
      <x:c r="B29" s="9" t="str">
        <x:v>Carrousel</x:v>
      </x:c>
      <x:c r="C29" s="9" t="str">
        <x:v>Slide 1/5</x:v>
      </x:c>
      <x:c r="D29" s="9" t="str">
        <x:v>Slide 1
Bac tunisien : faut-il un Studienkolleg ?
La réponse se vérifie avec ton parcours.
عندك باك تونسي: يلزمك تحضيري في ألمانيا؟
الإجابة يلزمها تثبّت حسب المسار متاعك.</x:v>
      </x:c>
      <x:c r="E29" s="9" t="str"/>
      <x:c r="F29" s="9" t="str">
        <x:v>embranchement simple « accès à vérifier » avec deux chemins sans conditions automatiques ; cartouche allemand « Studienkolleg » distinct du texte arabe ; cartes « diplôme / parcours / programme ». Éviter une flèche imposant « Bac tunisien → Studienkolleg ».</x:v>
      </x:c>
      <x:c r="G29" s="9" t="str">
        <x:v>Sources générales vérifiées le 21/09/2026 ; recontrôle avant publication. DAAD pour les repères d'accès et le Studienkolleg ; uni-assist, notamment les informations liées à la Tunisie ; université ou Studienkolleg visé. Ne pas ajouter de durée, examen, seuil de notes ou équivalence sans vérification ciblée.</x:v>
      </x:c>
      <x:c r="H29" s="9" t="str">
        <x:v>https://www.daad.de/en/studying-in-germany/requirements/admission-database/
https://www.uni-assist.de/en/how-to-apply/get-information/studienkolleg-preparatory-course/
https://www.make-it-in-germany.com/en/study-vocational-training/studies-in-germany/requirements</x:v>
      </x:c>
    </x:row>
    <x:row r="30" ht="290" customHeight="1">
      <x:c r="A30" s="10" t="str">
        <x:v>C04</x:v>
      </x:c>
      <x:c r="B30" s="10" t="str">
        <x:v>Carrousel</x:v>
      </x:c>
      <x:c r="C30" s="10" t="str">
        <x:v>Slide 2/5</x:v>
      </x:c>
      <x:c r="D30" s="10" t="str">
        <x:v>Slide 2
Studienkolleg
Un parcours préparatoire à l'accès aux études supérieures en Allemagne, dans certains cas.
شنوّة معناها؟
مسار تحضيري للدخول للتعليم العالي في ألمانيا، في بعض الحالات.</x:v>
      </x:c>
      <x:c r="E30" s="10" t="str"/>
      <x:c r="F30" s="10" t="str">
        <x:v>embranchement simple « accès à vérifier » avec deux chemins sans conditions automatiques ; cartouche allemand « Studienkolleg » distinct du texte arabe ; cartes « diplôme / parcours / programme ». Éviter une flèche imposant « Bac tunisien → Studienkolleg ».</x:v>
      </x:c>
      <x:c r="G30" s="10" t="str">
        <x:v>Sources générales vérifiées le 21/09/2026 ; recontrôle avant publication. DAAD pour les repères d'accès et le Studienkolleg ; uni-assist, notamment les informations liées à la Tunisie ; université ou Studienkolleg visé. Ne pas ajouter de durée, examen, seuil de notes ou équivalence sans vérification ciblée.</x:v>
      </x:c>
      <x:c r="H30" s="10" t="str">
        <x:v>https://www.daad.de/en/studying-in-germany/requirements/admission-database/
https://www.uni-assist.de/en/how-to-apply/get-information/studienkolleg-preparatory-course/
https://www.make-it-in-germany.com/en/study-vocational-training/studies-in-germany/requirements</x:v>
      </x:c>
    </x:row>
    <x:row r="31" ht="290" customHeight="1">
      <x:c r="A31" s="9" t="str">
        <x:v>C04</x:v>
      </x:c>
      <x:c r="B31" s="9" t="str">
        <x:v>Carrousel</x:v>
      </x:c>
      <x:c r="C31" s="9" t="str">
        <x:v>Slide 3/5</x:v>
      </x:c>
      <x:c r="D31" s="9" t="str">
        <x:v>Slide 3
Ce n'est pas automatique.
Le diplôme exact, le parcours et la formation visée comptent.
موش مرحلة لازمة للناس الكلّ.
نوع الديبلوم، المسار والتكوين اللي تحب عليه يهمّوا.</x:v>
      </x:c>
      <x:c r="E31" s="9" t="str"/>
      <x:c r="F31" s="9" t="str">
        <x:v>embranchement simple « accès à vérifier » avec deux chemins sans conditions automatiques ; cartouche allemand « Studienkolleg » distinct du texte arabe ; cartes « diplôme / parcours / programme ». Éviter une flèche imposant « Bac tunisien → Studienkolleg ».</x:v>
      </x:c>
      <x:c r="G31" s="9" t="str">
        <x:v>Sources générales vérifiées le 21/09/2026 ; recontrôle avant publication. DAAD pour les repères d'accès et le Studienkolleg ; uni-assist, notamment les informations liées à la Tunisie ; université ou Studienkolleg visé. Ne pas ajouter de durée, examen, seuil de notes ou équivalence sans vérification ciblée.</x:v>
      </x:c>
      <x:c r="H31" s="9" t="str">
        <x:v>https://www.daad.de/en/studying-in-germany/requirements/admission-database/
https://www.uni-assist.de/en/how-to-apply/get-information/studienkolleg-preparatory-course/
https://www.make-it-in-germany.com/en/study-vocational-training/studies-in-germany/requirements</x:v>
      </x:c>
    </x:row>
    <x:row r="32" ht="290" customHeight="1">
      <x:c r="A32" s="10" t="str">
        <x:v>C04</x:v>
      </x:c>
      <x:c r="B32" s="10" t="str">
        <x:v>Carrousel</x:v>
      </x:c>
      <x:c r="C32" s="10" t="str">
        <x:v>Slide 4/5</x:v>
      </x:c>
      <x:c r="D32" s="10" t="str">
        <x:v>Slide 4
Vérifie ton cas auprès de la bonne source.
Consulte les repères officiels, puis les consignes de l'établissement visé.
ثبّت في حالتك بالمصادر الرسمية.
وبعد راجع تعليمات المؤسسة اللي تحب تترشّحلها.</x:v>
      </x:c>
      <x:c r="E32" s="10" t="str"/>
      <x:c r="F32" s="10" t="str">
        <x:v>embranchement simple « accès à vérifier » avec deux chemins sans conditions automatiques ; cartouche allemand « Studienkolleg » distinct du texte arabe ; cartes « diplôme / parcours / programme ». Éviter une flèche imposant « Bac tunisien → Studienkolleg ».</x:v>
      </x:c>
      <x:c r="G32" s="10" t="str">
        <x:v>Sources générales vérifiées le 21/09/2026 ; recontrôle avant publication. DAAD pour les repères d'accès et le Studienkolleg ; uni-assist, notamment les informations liées à la Tunisie ; université ou Studienkolleg visé. Ne pas ajouter de durée, examen, seuil de notes ou équivalence sans vérification ciblée.</x:v>
      </x:c>
      <x:c r="H32" s="10" t="str">
        <x:v>https://www.daad.de/en/studying-in-germany/requirements/admission-database/
https://www.uni-assist.de/en/how-to-apply/get-information/studienkolleg-preparatory-course/
https://www.make-it-in-germany.com/en/study-vocational-training/studies-in-germany/requirements</x:v>
      </x:c>
    </x:row>
    <x:row r="33" ht="290" customHeight="1">
      <x:c r="A33" s="9" t="str">
        <x:v>C04</x:v>
      </x:c>
      <x:c r="B33" s="9" t="str">
        <x:v>Carrousel</x:v>
      </x:c>
      <x:c r="C33" s="9" t="str">
        <x:v>Slide 5/5</x:v>
      </x:c>
      <x:c r="D33" s="9" t="str">
        <x:v>Slide 5
Commence par ces informations.
Diplôme exact • parcours après le bac • programme visé.
Garde-les pour ta recherche.
ابدأ بالمعلومات هاذم.
الديبلوم بالضبط • قرايتك بعد الباك • التكوين اللي تحب عليه.
حضّرهم قبل ما تبدأ تبحث.</x:v>
      </x:c>
      <x:c r="E33" s="9" t="str"/>
      <x:c r="F33" s="9" t="str">
        <x:v>embranchement simple « accès à vérifier » avec deux chemins sans conditions automatiques ; cartouche allemand « Studienkolleg » distinct du texte arabe ; cartes « diplôme / parcours / programme ». Éviter une flèche imposant « Bac tunisien → Studienkolleg ».</x:v>
      </x:c>
      <x:c r="G33" s="9" t="str">
        <x:v>Sources générales vérifiées le 21/09/2026 ; recontrôle avant publication. DAAD pour les repères d'accès et le Studienkolleg ; uni-assist, notamment les informations liées à la Tunisie ; université ou Studienkolleg visé. Ne pas ajouter de durée, examen, seuil de notes ou équivalence sans vérification ciblée.</x:v>
      </x:c>
      <x:c r="H33" s="9" t="str">
        <x:v>https://www.daad.de/en/studying-in-germany/requirements/admission-database/
https://www.uni-assist.de/en/how-to-apply/get-information/studienkolleg-preparatory-course/
https://www.make-it-in-germany.com/en/study-vocational-training/studies-in-germany/requirements</x:v>
      </x:c>
    </x:row>
    <x:row r="34" ht="290" customHeight="1">
      <x:c r="A34" s="10" t="str">
        <x:v>V06</x:v>
      </x:c>
      <x:c r="B34" s="10" t="str">
        <x:v>Vidéo</x:v>
      </x:c>
      <x:c r="C34" s="10" t="str">
        <x:v>35–42 s</x:v>
      </x:c>
      <x:c r="D34" s="10" t="str">
        <x:v>أوّل مجموعة: التحضير. لغة، امتحانات، وثائق، وترجمة أو تصديق، حسب المطلوب في حالتك.
وبعد: مصاريف الترشّح والقراية حسب المؤسسة، وإجراءات السفر، والتأمين، وتكاليف الوصول والسكن.
وزيد الميزانية الشهرية: كراء، ماكلة، تنقّل ومصاريفك اليومية. المبلغ يتبدّل حسب المدينة ووضعيتك.
اعمل جدول فيه مصاريف مرّة واحدة ومصاريف تتعاود، وتثبّت من كل مبلغ من مصدره. ابعث الفيديو للشخص اللي يحضّر الميزانية معاك.</x:v>
      </x:c>
      <x:c r="E34" s="10" t="str">
        <x:v>3–12 s — Préparer : langue · examens · documents » ; icônes.
12–22 s — Candidater · étudier · partir · s’installer » ; cartes sans chiffres.
22–31 s — Vivre : logement · alimentation · transport » ; tableau vierge.
31–40 s — Une fois / chaque mois » puis « Partage à la personne qui prépare le budget avec toi.</x:v>
      </x:c>
      <x:c r="F34" s="10" t="str">
        <x:v>3–12 s — Préparer : langue · examens · documents » ; icônes.
12–22 s — Candidater · étudier · partir · s’installer » ; cartes sans chiffres.
22–31 s — Vivre : logement · alimentation · transport » ; tableau vierge.
31–40 s — Une fois / chaque mois » puis « Partage à la personne qui prépare le budget avec toi.</x:v>
      </x:c>
      <x:c r="G34" s="10" t="str">
        <x:v>S03 vérifiée le 21/09/2026. Cette grille n’est ni un budget chiffré ni une liste exhaustive. Ne pas ajouter « études gratuites partout ». Si un compte bloqué est abordé ensuite, expliquer sa fonction sans additionner deux fois les fonds destinés aux dépenses de vie.</x:v>
      </x:c>
      <x:c r="H34" s="10" t="str">
        <x:v>https://www.make-it-in-germany.com/en/visa-residence/types/studying
https://www.daad.de/en/studying-in-germany/living-in-germany/finances/</x:v>
      </x:c>
    </x:row>
    <x:row r="35" ht="290" customHeight="1">
      <x:c r="A35" s="9" t="str">
        <x:v>C05</x:v>
      </x:c>
      <x:c r="B35" s="9" t="str">
        <x:v>Carrousel</x:v>
      </x:c>
      <x:c r="C35" s="9" t="str">
        <x:v>Slide 1/5</x:v>
      </x:c>
      <x:c r="D35" s="9" t="str">
        <x:v>Slide 1
Ton budget ne s'arrête pas au loyer.
Prépare aussi ton installation.
الميزانية موش كان الكراء.
احسب زادة مصاريف الاستقرار في الأوّل.</x:v>
      </x:c>
      <x:c r="E35" s="9" t="str"/>
      <x:c r="F35" s="9" t="str">
        <x:v>trois tiroirs « départ / installation / régulier », pictogrammes d'appartement, valise, courses et transport ; mini-tableau sans montants. Pas de prix d'appel, de logement représenté comme disponible ou de budget « suffisant pour tous ».</x:v>
      </x:c>
      <x:c r="G35" s="9" t="str">
        <x:v>Sources générales vérifiées le 21/09/2026 ; recontrôle avant publication. DAAD / Study in Germany pour les postes de dépenses ; établissement et Studierendenwerk local pour les frais et le logement ; Ambassade d'Allemagne à Tunis pour toute mention des ressources exigées. Aucun calcul d'accessibilité financière ni conseil financier personnalisé.</x:v>
      </x:c>
      <x:c r="H35" s="9" t="str">
        <x:v>https://www.make-it-in-germany.com/en/visa-residence/types/studying
https://www.daad.de/en/studying-in-germany/living-in-germany/finances/
https://www.daad.de/en/studying-in-germany/living-in-germany/renting/</x:v>
      </x:c>
    </x:row>
    <x:row r="36" ht="290" customHeight="1">
      <x:c r="A36" s="10" t="str">
        <x:v>C05</x:v>
      </x:c>
      <x:c r="B36" s="10" t="str">
        <x:v>Carrousel</x:v>
      </x:c>
      <x:c r="C36" s="10" t="str">
        <x:v>Slide 2/5</x:v>
      </x:c>
      <x:c r="D36" s="10" t="str">
        <x:v>Slide 2
Avant le départ.
Documents, langue, candidatures, démarches et voyage : liste les frais qui te concernent.
قبل السفر.
وثائق، لغة، ترشّحات، إجراءات وسفر: دوّن المصاريف اللي تخصّك.</x:v>
      </x:c>
      <x:c r="E36" s="10" t="str"/>
      <x:c r="F36" s="10" t="str">
        <x:v>trois tiroirs « départ / installation / régulier », pictogrammes d'appartement, valise, courses et transport ; mini-tableau sans montants. Pas de prix d'appel, de logement représenté comme disponible ou de budget « suffisant pour tous ».</x:v>
      </x:c>
      <x:c r="G36" s="10" t="str">
        <x:v>Sources générales vérifiées le 21/09/2026 ; recontrôle avant publication. DAAD / Study in Germany pour les postes de dépenses ; établissement et Studierendenwerk local pour les frais et le logement ; Ambassade d'Allemagne à Tunis pour toute mention des ressources exigées. Aucun calcul d'accessibilité financière ni conseil financier personnalisé.</x:v>
      </x:c>
      <x:c r="H36" s="10" t="str">
        <x:v>https://www.make-it-in-germany.com/en/visa-residence/types/studying
https://www.daad.de/en/studying-in-germany/living-in-germany/finances/
https://www.daad.de/en/studying-in-germany/living-in-germany/renting/</x:v>
      </x:c>
    </x:row>
    <x:row r="37" ht="290" customHeight="1">
      <x:c r="A37" s="9" t="str">
        <x:v>C05</x:v>
      </x:c>
      <x:c r="B37" s="9" t="str">
        <x:v>Carrousel</x:v>
      </x:c>
      <x:c r="C37" s="9" t="str">
        <x:v>Slide 3/5</x:v>
      </x:c>
      <x:c r="D37" s="9" t="str">
        <x:v>Slide 3
À l'arrivée.
Logement provisoire, dépôt de garantie éventuel, équipement : vérifie chaque poste.
كي توصل.
سكن مؤقّت، ضمان كراء إذا مطلوب وتجهيزات: ثبّت في كل مصروف.</x:v>
      </x:c>
      <x:c r="E37" s="9" t="str"/>
      <x:c r="F37" s="9" t="str">
        <x:v>trois tiroirs « départ / installation / régulier », pictogrammes d'appartement, valise, courses et transport ; mini-tableau sans montants. Pas de prix d'appel, de logement représenté comme disponible ou de budget « suffisant pour tous ».</x:v>
      </x:c>
      <x:c r="G37" s="9" t="str">
        <x:v>Sources générales vérifiées le 21/09/2026 ; recontrôle avant publication. DAAD / Study in Germany pour les postes de dépenses ; établissement et Studierendenwerk local pour les frais et le logement ; Ambassade d'Allemagne à Tunis pour toute mention des ressources exigées. Aucun calcul d'accessibilité financière ni conseil financier personnalisé.</x:v>
      </x:c>
      <x:c r="H37" s="9" t="str">
        <x:v>https://www.make-it-in-germany.com/en/visa-residence/types/studying
https://www.daad.de/en/studying-in-germany/living-in-germany/finances/
https://www.daad.de/en/studying-in-germany/living-in-germany/renting/</x:v>
      </x:c>
    </x:row>
    <x:row r="38" ht="290" customHeight="1">
      <x:c r="A38" s="10" t="str">
        <x:v>C05</x:v>
      </x:c>
      <x:c r="B38" s="10" t="str">
        <x:v>Carrousel</x:v>
      </x:c>
      <x:c r="C38" s="10" t="str">
        <x:v>Slide 4/5</x:v>
      </x:c>
      <x:c r="D38" s="10" t="str">
        <x:v>Slide 4
Chaque mois — et à certaines échéances.
Loyer et charges, alimentation, assurance, transport, téléphone, frais d'études applicables.
كل شهر — وفي مواعيد معيّنة.
كراء ومصاريف السكن، ماكلة، تأمين، نقل، تليفون ومصاريف القراية اللي تخصّك.</x:v>
      </x:c>
      <x:c r="E38" s="10" t="str"/>
      <x:c r="F38" s="10" t="str">
        <x:v>trois tiroirs « départ / installation / régulier », pictogrammes d'appartement, valise, courses et transport ; mini-tableau sans montants. Pas de prix d'appel, de logement représenté comme disponible ou de budget « suffisant pour tous ».</x:v>
      </x:c>
      <x:c r="G38" s="10" t="str">
        <x:v>Sources générales vérifiées le 21/09/2026 ; recontrôle avant publication. DAAD / Study in Germany pour les postes de dépenses ; établissement et Studierendenwerk local pour les frais et le logement ; Ambassade d'Allemagne à Tunis pour toute mention des ressources exigées. Aucun calcul d'accessibilité financière ni conseil financier personnalisé.</x:v>
      </x:c>
      <x:c r="H38" s="10" t="str">
        <x:v>https://www.make-it-in-germany.com/en/visa-residence/types/studying
https://www.daad.de/en/studying-in-germany/living-in-germany/finances/
https://www.daad.de/en/studying-in-germany/living-in-germany/renting/</x:v>
      </x:c>
    </x:row>
    <x:row r="39" ht="290" customHeight="1">
      <x:c r="A39" s="9" t="str">
        <x:v>C05</x:v>
      </x:c>
      <x:c r="B39" s="9" t="str">
        <x:v>Carrousel</x:v>
      </x:c>
      <x:c r="C39" s="9" t="str">
        <x:v>Slide 5/5</x:v>
      </x:c>
      <x:c r="D39" s="9" t="str">
        <x:v>Slide 5
Fais ton budget pour ta ville et ton projet.
Sépare : avant le départ • installation • dépenses régulières.
Prévois une marge pour les imprévus.
اعمل ميزانية حسب المدينة والمشروع متاعك.
فرّق بين قبل السفر، الاستقرار والمصاريف المتكرّرة.
وخلي هامش للحاجات اللي ما حسبتلهاش.</x:v>
      </x:c>
      <x:c r="E39" s="9" t="str"/>
      <x:c r="F39" s="9" t="str">
        <x:v>trois tiroirs « départ / installation / régulier », pictogrammes d'appartement, valise, courses et transport ; mini-tableau sans montants. Pas de prix d'appel, de logement représenté comme disponible ou de budget « suffisant pour tous ».</x:v>
      </x:c>
      <x:c r="G39" s="9" t="str">
        <x:v>Sources générales vérifiées le 21/09/2026 ; recontrôle avant publication. DAAD / Study in Germany pour les postes de dépenses ; établissement et Studierendenwerk local pour les frais et le logement ; Ambassade d'Allemagne à Tunis pour toute mention des ressources exigées. Aucun calcul d'accessibilité financière ni conseil financier personnalisé.</x:v>
      </x:c>
      <x:c r="H39" s="9" t="str">
        <x:v>https://www.make-it-in-germany.com/en/visa-residence/types/studying
https://www.daad.de/en/studying-in-germany/living-in-germany/finances/
https://www.daad.de/en/studying-in-germany/living-in-germany/renting/</x:v>
      </x:c>
    </x:row>
    <x:row r="40" ht="290" customHeight="1">
      <x:c r="A40" s="10" t="str">
        <x:v>V07</x:v>
      </x:c>
      <x:c r="B40" s="10" t="str">
        <x:v>Vidéo</x:v>
      </x:c>
      <x:c r="C40" s="10" t="str">
        <x:v>35–40 s</x:v>
      </x:c>
      <x:c r="D40" s="10" t="str">
        <x:v>أوّل غلطة: تاخو تاريخ من فيديو قديم. تثبّت من الموعد الرسمي متاع البرنامج، للدورة ونوع الترشّح متاعك.
ثاني غلطة: تحسب كان نهار إرسال المطلب. الوثائق وإثبات اللغة ينجموا يحتاجوا تحضير قبل.
ثالث غلطة: تخلط بين آجال الجامعة وuni-assist، إذا يخصّك، وبقيّة الإجراءات. كل مرحلة تثبّتلها وحدها.
اعمل رزنامة، قدّام كل مرحلة حطّ مصدرها الرسمي. احفظ الفيديو وقت تحضّر planning متاعك.</x:v>
      </x:c>
      <x:c r="E40" s="10" t="str">
        <x:v>3–13 s — 1. Copier une ancienne date » ; carte barrée « ancienne capture ».
13–23 s — 2. Oublier la préparation » ; documents → preuve de langue → dépôt.
23–32 s — 3. Confondre les étapes » ; trois lignes distinctes, pas de délai universel.
32–40 s — Étape · échéance · source » puis CTA.</x:v>
      </x:c>
      <x:c r="F40" s="10" t="str">
        <x:v>3–13 s — 1. Copier une ancienne date » ; carte barrée « ancienne capture ».
13–23 s — 2. Oublier la préparation » ; documents → preuve de langue → dépôt.
23–32 s — 3. Confondre les étapes » ; trois lignes distinctes, pas de délai universel.
32–40 s — Étape · échéance · source » puis CTA.</x:v>
      </x:c>
      <x:c r="G40" s="10" t="str">
        <x:v>S06 vérifiée le 21/09/2026. Aucune date de rentrée ni échéance générique à ajouter. Si un exemple réel est utilisé, préciser programme, session, profil concerné et date de vérification.</x:v>
      </x:c>
      <x:c r="H40" s="10" t="str">
        <x:v>https://www.uni-assist.de/en/faqs/plan-your-application/</x:v>
      </x:c>
    </x:row>
    <x:row r="41" ht="290" customHeight="1">
      <x:c r="A41" s="9" t="str">
        <x:v>C06</x:v>
      </x:c>
      <x:c r="B41" s="9" t="str">
        <x:v>Carrousel</x:v>
      </x:c>
      <x:c r="C41" s="9" t="str">
        <x:v>Slide 1/5</x:v>
      </x:c>
      <x:c r="D41" s="9" t="str">
        <x:v>Slide 1
Étudier en Allemagne : une discussion à avoir ensemble.
Étudiant·e + parents.
مشروع القراية في ألمانيا: نحكيو عليه مع بعضنا.
الطالب ولا الطالبة + العايلة.</x:v>
      </x:c>
      <x:c r="E41" s="9" t="str"/>
      <x:c r="F41" s="9" t="str">
        <x:v>deux bulles de dialogue sans portrait, bureau avec carnet fictif, liste « nos questions », quatre cartes de sujets. Pas de photos de famille ni de faux avis. Le graphisme représente la discussion, sans présumer qui décide à la place de l'étudiant.</x:v>
      </x:c>
      <x:c r="G41" s="9" t="str">
        <x:v>aucune affirmation administrative spécifique ; un contrôle de ton et de lisibilité suffit. Les futures réponses aux questions de procédure nécessiteront leurs propres sources.</x:v>
      </x:c>
      <x:c r="H41" s="9" t="str"/>
    </x:row>
    <x:row r="42" ht="290" customHeight="1">
      <x:c r="A42" s="10" t="str">
        <x:v>C06</x:v>
      </x:c>
      <x:c r="B42" s="10" t="str">
        <x:v>Carrousel</x:v>
      </x:c>
      <x:c r="C42" s="10" t="str">
        <x:v>Slide 2/5</x:v>
      </x:c>
      <x:c r="D42" s="10" t="str">
        <x:v>Slide 2
Côté étudiant : ton projet.
Qu'as-tu envie d'étudier ? Pourquoi ? Quelles étapes as-tu déjà vérifiées ?
بالنسبة للطالب: المشروع متاعك.
شنوّة تحب تقرى؟ علاش؟ وشنوّة الخطوات اللي تثبّت فيها؟</x:v>
      </x:c>
      <x:c r="E42" s="10" t="str"/>
      <x:c r="F42" s="10" t="str">
        <x:v>deux bulles de dialogue sans portrait, bureau avec carnet fictif, liste « nos questions », quatre cartes de sujets. Pas de photos de famille ni de faux avis. Le graphisme représente la discussion, sans présumer qui décide à la place de l'étudiant.</x:v>
      </x:c>
      <x:c r="G42" s="10" t="str">
        <x:v>aucune affirmation administrative spécifique ; un contrôle de ton et de lisibilité suffit. Les futures réponses aux questions de procédure nécessiteront leurs propres sources.</x:v>
      </x:c>
      <x:c r="H42" s="10" t="str"/>
    </x:row>
    <x:row r="43" ht="290" customHeight="1">
      <x:c r="A43" s="9" t="str">
        <x:v>C06</x:v>
      </x:c>
      <x:c r="B43" s="9" t="str">
        <x:v>Carrousel</x:v>
      </x:c>
      <x:c r="C43" s="9" t="str">
        <x:v>Slide 3/5</x:v>
      </x:c>
      <x:c r="D43" s="9" t="str">
        <x:v>Slide 3
Côté parents : vos questions.
Budget, logement, organisation, suivi : notez ce qui vous préoccupe.
بالنسبة للوالدين: أسئلتكم.
الميزانية، السكن، التنظيم والمتابعة: دوّنوا شنوّة يشغلكم.</x:v>
      </x:c>
      <x:c r="E43" s="9" t="str"/>
      <x:c r="F43" s="9" t="str">
        <x:v>deux bulles de dialogue sans portrait, bureau avec carnet fictif, liste « nos questions », quatre cartes de sujets. Pas de photos de famille ni de faux avis. Le graphisme représente la discussion, sans présumer qui décide à la place de l'étudiant.</x:v>
      </x:c>
      <x:c r="G43" s="9" t="str">
        <x:v>aucune affirmation administrative spécifique ; un contrôle de ton et de lisibilité suffit. Les futures réponses aux questions de procédure nécessiteront leurs propres sources.</x:v>
      </x:c>
      <x:c r="H43" s="9" t="str"/>
    </x:row>
    <x:row r="44" ht="290" customHeight="1">
      <x:c r="A44" s="10" t="str">
        <x:v>C06</x:v>
      </x:c>
      <x:c r="B44" s="10" t="str">
        <x:v>Carrousel</x:v>
      </x:c>
      <x:c r="C44" s="10" t="str">
        <x:v>Slide 4/5</x:v>
      </x:c>
      <x:c r="D44" s="10" t="str">
        <x:v>Slide 4
Ensemble : une prochaine étape claire.
Choisissez une information à vérifier, une personne qui s'en charge et une date pour en reparler.
مع بعضكم: اختاروا الخطوة الجاية.
شنوّة المعلومة اللي باش تثبّتوا فيها؟ شكون يتكفّل بيها؟ ووقتاش تعاودوا تحكيو؟</x:v>
      </x:c>
      <x:c r="E44" s="10" t="str"/>
      <x:c r="F44" s="10" t="str">
        <x:v>deux bulles de dialogue sans portrait, bureau avec carnet fictif, liste « nos questions », quatre cartes de sujets. Pas de photos de famille ni de faux avis. Le graphisme représente la discussion, sans présumer qui décide à la place de l'étudiant.</x:v>
      </x:c>
      <x:c r="G44" s="10" t="str">
        <x:v>aucune affirmation administrative spécifique ; un contrôle de ton et de lisibilité suffit. Les futures réponses aux questions de procédure nécessiteront leurs propres sources.</x:v>
      </x:c>
      <x:c r="H44" s="10" t="str"/>
    </x:row>
    <x:row r="45" ht="290" customHeight="1">
      <x:c r="A45" s="9" t="str">
        <x:v>C06</x:v>
      </x:c>
      <x:c r="B45" s="9" t="str">
        <x:v>Carrousel</x:v>
      </x:c>
      <x:c r="C45" s="9" t="str">
        <x:v>Slide 5/5</x:v>
      </x:c>
      <x:c r="D45" s="9" t="str">
        <x:v>Slide 5
Quel sujet vous aiderait le plus ?
Langue • candidature • budget • logement.
Écrivez seulement le thème en commentaire.
شنوّة الموضوع اللي يعاونكم أكثر؟
اللغة • الترشّح • الميزانية • السكن.
اكتبوا كان الموضوع في تعليق.</x:v>
      </x:c>
      <x:c r="E45" s="9" t="str"/>
      <x:c r="F45" s="9" t="str">
        <x:v>deux bulles de dialogue sans portrait, bureau avec carnet fictif, liste « nos questions », quatre cartes de sujets. Pas de photos de famille ni de faux avis. Le graphisme représente la discussion, sans présumer qui décide à la place de l'étudiant.</x:v>
      </x:c>
      <x:c r="G45" s="9" t="str">
        <x:v>aucune affirmation administrative spécifique ; un contrôle de ton et de lisibilité suffit. Les futures réponses aux questions de procédure nécessiteront leurs propres sources.</x:v>
      </x:c>
      <x:c r="H45" s="9" t="str"/>
    </x:row>
    <x:row r="46" ht="290" customHeight="1">
      <x:c r="A46" s="10" t="str">
        <x:v>V08</x:v>
      </x:c>
      <x:c r="B46" s="10" t="str">
        <x:v>Vidéo</x:v>
      </x:c>
      <x:c r="C46" s="10" t="str">
        <x:v>32–38 s</x:v>
      </x:c>
      <x:c r="D46" s="10" t="str">
        <x:v>فما برامج بالإنجليزية، أمّا لازم تلقى البرنامج اللي يناسب مجال قرايتك ومستواك، وتثبّت من شروطو.
على الصفحة الرسمية، شوف لغة التدريس بالضبط وإثبات اللغة المطلوب. وكون البرنامج بالإنجليزية ما يعنيش إعفاء آلي من أي شرط لغة.
والألمانية تبقى مفيدة للحياة اليومية. أمّا شروط القبول ناخذوها من البرنامج، موش من تخمين.
تابع AlmaGo باش تتعلّم تقرا شروط البرامج، خطوة بخطوة.</x:v>
      </x:c>
      <x:c r="E46" s="10" t="str">
        <x:v>3–13 s — Domaine · niveau · conditions » ; recherche illustrative sans résultat inventé.
13–24 s — Vérifier : langue d’enseignement + preuves exigées » ; zoom de maquette.
24–31 s — Vie quotidienne ≠ critère d’admission » ; pictogrammes courses et transport.
31–37 s — Abonne-toi pour décrypter les programmes.</x:v>
      </x:c>
      <x:c r="F46" s="10" t="str">
        <x:v>3–13 s — Domaine · niveau · conditions » ; recherche illustrative sans résultat inventé.
13–24 s — Vérifier : langue d’enseignement + preuves exigées » ; zoom de maquette.
24–31 s — Vie quotidienne ≠ critère d’admission » ; pictogrammes courses et transport.
31–37 s — Abonne-toi pour décrypter les programmes.</x:v>
      </x:c>
      <x:c r="G46" s="10" t="str">
        <x:v>S09 vérifiée le 21/09/2026 avec uni-assist, qui traite aussi les programmes enseignés en anglais et leurs exigences. Toute sélection concrète de programmes nécessitera une vérification spécifique.</x:v>
      </x:c>
      <x:c r="H46" s="10" t="str">
        <x:v>https://www.uni-assist.de/en/how-to-apply/assemble-your-documents/language-certificates/</x:v>
      </x:c>
    </x:row>
  </x:sheetData>
  <x:pageMargins left="0.7" right="0.7" top="0.75" bottom="0.75" header="0.3" footer="0.3"/>
  <x:tableParts count="1">
    <x:tablePart xmlns:r="http://schemas.openxmlformats.org/officeDocument/2006/relationships" r:id="Rb6440518608d4241"/>
  </x:tableParts>
</x:worksheet>
</file>

<file path=xl/worksheets/sheet4.xml><?xml version="1.0" encoding="utf-8"?>
<x:worksheet xmlns:x="http://schemas.openxmlformats.org/spreadsheetml/2006/main">
  <x:sheetPr>
    <x:tabColor rgb="FF176B5B"/>
  </x:sheetPr>
  <x:sheetViews>
    <x:sheetView showGridLines="0" workbookViewId="0">
      <x:pane ySplit="4" topLeftCell="A5" activePane="bottomLeft" state="frozen"/>
    </x:sheetView>
  </x:sheetViews>
  <x:sheetFormatPr defaultRowHeight="15"/>
  <x:cols>
    <x:col min="1" max="1" width="7.5" hidden="0" customWidth="1"/>
    <x:col min="2" max="2" width="13.75" hidden="0" customWidth="1"/>
    <x:col min="3" max="3" width="11.880000114440918" hidden="0" customWidth="1"/>
    <x:col min="4" max="4" width="8.75" hidden="0" customWidth="1"/>
    <x:col min="5" max="5" width="19.3799991607666" hidden="0" customWidth="1"/>
    <x:col min="6" max="6" width="16.8799991607666" hidden="0" customWidth="1"/>
    <x:col min="7" max="7" width="30" hidden="0" customWidth="1"/>
    <x:col min="8" max="8" width="16.25" hidden="0" customWidth="1"/>
    <x:col min="9" max="9" width="66.25" hidden="0" customWidth="1"/>
    <x:col min="10" max="10" width="56.25" hidden="0" customWidth="1"/>
    <x:col min="11" max="11" width="56.25" hidden="0" customWidth="1"/>
    <x:col min="12" max="12" width="19.3799991607666" hidden="0" customWidth="1"/>
    <x:col min="13" max="13" width="27.5" hidden="0" customWidth="1"/>
    <x:col min="14" max="14" width="48.75" hidden="0" customWidth="1"/>
    <x:col min="15" max="15" width="27.5" hidden="0" customWidth="1"/>
    <x:col min="16" max="16" width="16.25" hidden="0" customWidth="1"/>
    <x:col min="17" max="17" width="65" hidden="0" customWidth="1"/>
    <x:col min="18" max="18" width="68.75" hidden="0" customWidth="1"/>
  </x:cols>
  <x:sheetData>
    <x:row r="1" ht="28" customHeight="1">
      <x:c r="A1" s="2" t="str">
        <x:v>Stories de lancement</x:v>
      </x:c>
      <x:c r="B1" s="1"/>
      <x:c r="C1" s="1"/>
      <x:c r="D1" s="1"/>
      <x:c r="E1" s="1"/>
      <x:c r="F1" s="1"/>
      <x:c r="G1" s="1"/>
      <x:c r="H1" s="1"/>
      <x:c r="I1" s="1"/>
      <x:c r="J1" s="1"/>
      <x:c r="K1" s="1"/>
      <x:c r="L1" s="1"/>
      <x:c r="M1" s="1"/>
      <x:c r="N1" s="1"/>
      <x:c r="O1" s="1"/>
      <x:c r="P1" s="1"/>
      <x:c r="Q1" s="1"/>
      <x:c r="R1" s="1"/>
    </x:row>
    <x:row r="2">
      <x:c r="A2" s="3" t="str">
        <x:v>8 écrans par semaine. Interactions à recréer dans chaque application. WhatsApp : validation du contact et de l’offre.</x:v>
      </x:c>
      <x:c r="B2" s="1"/>
      <x:c r="C2" s="1"/>
      <x:c r="D2" s="1"/>
      <x:c r="E2" s="1"/>
      <x:c r="F2" s="1"/>
      <x:c r="G2" s="1"/>
      <x:c r="H2" s="1"/>
      <x:c r="I2" s="1"/>
      <x:c r="J2" s="1"/>
      <x:c r="K2" s="1"/>
      <x:c r="L2" s="1"/>
      <x:c r="M2" s="1"/>
      <x:c r="N2" s="1"/>
      <x:c r="O2" s="1"/>
      <x:c r="P2" s="1"/>
      <x:c r="Q2" s="1"/>
      <x:c r="R2" s="1"/>
    </x:row>
    <x:row r="3">
      <x:c r="A3" s="1"/>
      <x:c r="B3" s="1"/>
      <x:c r="C3" s="1"/>
      <x:c r="D3" s="1"/>
      <x:c r="E3" s="1"/>
      <x:c r="F3" s="1"/>
      <x:c r="G3" s="1"/>
      <x:c r="H3" s="1"/>
      <x:c r="I3" s="1"/>
      <x:c r="J3" s="1"/>
      <x:c r="K3" s="1"/>
      <x:c r="L3" s="1"/>
      <x:c r="M3" s="1"/>
      <x:c r="N3" s="1"/>
      <x:c r="O3" s="1"/>
      <x:c r="P3" s="1"/>
      <x:c r="Q3" s="1"/>
      <x:c r="R3" s="1"/>
    </x:row>
    <x:row r="4" ht="36" customHeight="1">
      <x:c r="A4" s="7" t="str">
        <x:v>Jour</x:v>
      </x:c>
      <x:c r="B4" s="7" t="str">
        <x:v>Date</x:v>
      </x:c>
      <x:c r="C4" s="7" t="str">
        <x:v>Heure Tunis</x:v>
      </x:c>
      <x:c r="D4" s="7" t="str">
        <x:v>ID</x:v>
      </x:c>
      <x:c r="E4" s="7" t="str">
        <x:v>Plateforme</x:v>
      </x:c>
      <x:c r="F4" s="7" t="str">
        <x:v>Format</x:v>
      </x:c>
      <x:c r="G4" s="7" t="str">
        <x:v>Hook / sujet</x:v>
      </x:c>
      <x:c r="H4" s="7" t="str">
        <x:v>Langue</x:v>
      </x:c>
      <x:c r="I4" s="7" t="str">
        <x:v>Texte écran</x:v>
      </x:c>
      <x:c r="J4" s="7" t="str">
        <x:v>Précision Instagram</x:v>
      </x:c>
      <x:c r="K4" s="7" t="str">
        <x:v>Adaptation Facebook</x:v>
      </x:c>
      <x:c r="L4" s="7" t="str">
        <x:v>Hashtags</x:v>
      </x:c>
      <x:c r="M4" s="7" t="str">
        <x:v>CTA</x:v>
      </x:c>
      <x:c r="N4" s="7" t="str">
        <x:v>Visuel nécessaire</x:v>
      </x:c>
      <x:c r="O4" s="7" t="str">
        <x:v>Statut</x:v>
      </x:c>
      <x:c r="P4" s="7" t="str">
        <x:v>Catégorie</x:v>
      </x:c>
      <x:c r="Q4" s="7" t="str">
        <x:v>Variante avant ouverture</x:v>
      </x:c>
      <x:c r="R4" s="7" t="str">
        <x:v>Sources officielles</x:v>
      </x:c>
    </x:row>
    <x:row r="5" ht="185" customHeight="1">
      <x:c r="A5" s="9" t="n">
        <x:v>1</x:v>
      </x:c>
      <x:c r="B5" s="13" t="n">
        <x:f>'Calendrier'!$B$4+A5-1</x:f>
        <x:v>46293</x:v>
      </x:c>
      <x:c r="C5" s="16" t="n">
        <x:v>0.5208333333333334</x:v>
      </x:c>
      <x:c r="D5" s="9" t="str">
        <x:v>ST01</x:v>
      </x:c>
      <x:c r="E5" s="9" t="str">
        <x:v>Instagram / Facebook</x:v>
      </x:c>
      <x:c r="F5" s="9" t="str">
        <x:v>Story · 1 écran</x:v>
      </x:c>
      <x:c r="G5" s="9" t="str">
        <x:v>Tu en es où ?</x:v>
      </x:c>
      <x:c r="H5" s="9" t="str">
        <x:v>Français + tunisien</x:v>
      </x:c>
      <x:c r="I5" s="9" t="str">
        <x:v>توّا وين وصلت في قرايتك؟</x:v>
      </x:c>
      <x:c r="J5" s="9" t="str">
        <x:v>Sondage : Bac / Université. Pour les diplômés, réponse libre « diplômé ».</x:v>
      </x:c>
      <x:c r="K5" s="9" t="str">
        <x:v>Sondage : Bac / Université. Pour les diplômés, réponse libre « diplômé ».</x:v>
      </x:c>
      <x:c r="L5" s="9" t="str">
        <x:v>Aucun hashtag nécessaire</x:v>
      </x:c>
      <x:c r="M5" s="9" t="str">
        <x:v>Répondre au sondage</x:v>
      </x:c>
      <x:c r="N5" s="9" t="str">
        <x:v>Fond crème, 2 cartes et sticker natif.</x:v>
      </x:c>
      <x:c r="O5" s="9" t="str">
        <x:v>Texte préparé ; visuel à produire</x:v>
      </x:c>
      <x:c r="P5" s="9" t="str">
        <x:v>Confiance</x:v>
      </x:c>
      <x:c r="Q5" s="9" t="str"/>
      <x:c r="R5" s="9" t="str"/>
    </x:row>
    <x:row r="6" ht="185" customHeight="1">
      <x:c r="A6" s="10" t="n">
        <x:v>1</x:v>
      </x:c>
      <x:c r="B6" s="14" t="n">
        <x:f>'Calendrier'!$B$4+A6-1</x:f>
        <x:v>46293</x:v>
      </x:c>
      <x:c r="C6" s="17" t="n">
        <x:v>0.75</x:v>
      </x:c>
      <x:c r="D6" s="10" t="str">
        <x:v>ST02</x:v>
      </x:c>
      <x:c r="E6" s="10" t="str">
        <x:v>Instagram / Facebook</x:v>
      </x:c>
      <x:c r="F6" s="10" t="str">
        <x:v>Story · 1 écran</x:v>
      </x:c>
      <x:c r="G6" s="10" t="str">
        <x:v>Les 4 repères de ton profil</x:v>
      </x:c>
      <x:c r="H6" s="10" t="str">
        <x:v>Français + tunisien</x:v>
      </x:c>
      <x:c r="I6" s="10" t="str">
        <x:v>Parcours • formation visée • langues • budget et temps de préparation.
أربع نقاط باش توضّح مشروعك.</x:v>
      </x:c>
      <x:c r="J6" s="10" t="str">
        <x:v>Retrouve la fiche de départ dans le Reel du jour, dès sa mise en ligne.</x:v>
      </x:c>
      <x:c r="K6" s="10" t="str">
        <x:v>Retrouve la fiche de départ dans le vidéo du jour, dès sa mise en ligne.</x:v>
      </x:c>
      <x:c r="L6" s="10" t="str">
        <x:v>Aucun hashtag nécessaire</x:v>
      </x:c>
      <x:c r="M6" s="10" t="str">
        <x:v>Garder ces 4 repères</x:v>
      </x:c>
      <x:c r="N6" s="10" t="str">
        <x:v>Carte à 4 cases. Aucun résultat d’admissibilité.</x:v>
      </x:c>
      <x:c r="O6" s="10" t="str">
        <x:v>Texte préparé ; visuel à produire</x:v>
      </x:c>
      <x:c r="P6" s="10" t="str">
        <x:v>Éducatif</x:v>
      </x:c>
      <x:c r="Q6" s="10" t="str"/>
      <x:c r="R6" s="10" t="str"/>
    </x:row>
    <x:row r="7" ht="185" customHeight="1">
      <x:c r="A7" s="9" t="n">
        <x:v>2</x:v>
      </x:c>
      <x:c r="B7" s="13" t="n">
        <x:f>'Calendrier'!$B$4+A7-1</x:f>
        <x:v>46294</x:v>
      </x:c>
      <x:c r="C7" s="16" t="n">
        <x:v>0.5208333333333334</x:v>
      </x:c>
      <x:c r="D7" s="9" t="str">
        <x:v>ST03</x:v>
      </x:c>
      <x:c r="E7" s="9" t="str">
        <x:v>Instagram / Facebook</x:v>
      </x:c>
      <x:c r="F7" s="9" t="str">
        <x:v>Story · 1 écran</x:v>
      </x:c>
      <x:c r="G7" s="9" t="str">
        <x:v>Quel programme regardes-tu ?</x:v>
      </x:c>
      <x:c r="H7" s="9" t="str">
        <x:v>Français + tunisien</x:v>
      </x:c>
      <x:c r="I7" s="9" t="str">
        <x:v>Pour chaque programme : conserve son nom exact et son lien officiel.
اكتب اسم التكوين والرابط الرسمي متاعو.</x:v>
      </x:c>
      <x:c r="J7" s="9" t="str">
        <x:v>Pas besoin de poster tes documents : prépare ta fiche pour toi.</x:v>
      </x:c>
      <x:c r="K7" s="9" t="str">
        <x:v>Pas besoin de poster tes documents : prépare ta fiche pour toi.</x:v>
      </x:c>
      <x:c r="L7" s="9" t="str">
        <x:v>Aucun hashtag nécessaire</x:v>
      </x:c>
      <x:c r="M7" s="9" t="str">
        <x:v>Créer sa fiche</x:v>
      </x:c>
      <x:c r="N7" s="9" t="str">
        <x:v>Maquette générique de fiche marquée EXEMPLE.</x:v>
      </x:c>
      <x:c r="O7" s="9" t="str">
        <x:v>Texte préparé ; visuel à produire</x:v>
      </x:c>
      <x:c r="P7" s="9" t="str">
        <x:v>Éducatif</x:v>
      </x:c>
      <x:c r="Q7" s="9" t="str"/>
      <x:c r="R7" s="9" t="str"/>
    </x:row>
    <x:row r="8" ht="185" customHeight="1">
      <x:c r="A8" s="10" t="n">
        <x:v>3</x:v>
      </x:c>
      <x:c r="B8" s="14" t="n">
        <x:f>'Calendrier'!$B$4+A8-1</x:f>
        <x:v>46295</x:v>
      </x:c>
      <x:c r="C8" s="17" t="n">
        <x:v>0.5208333333333334</x:v>
      </x:c>
      <x:c r="D8" s="10" t="str">
        <x:v>ST04</x:v>
      </x:c>
      <x:c r="E8" s="10" t="str">
        <x:v>Instagram / Facebook</x:v>
      </x:c>
      <x:c r="F8" s="10" t="str">
        <x:v>Story · 1 écran</x:v>
      </x:c>
      <x:c r="G8" s="10" t="str">
        <x:v>Avant de réserver un examen</x:v>
      </x:c>
      <x:c r="H8" s="10" t="str">
        <x:v>Français + tunisien</x:v>
      </x:c>
      <x:c r="I8" s="10" t="str">
        <x:v>Langue enseignée + niveau + preuve acceptée + date de dépôt.
ثبّت في شروط التكوين قبل ما تختار الامتحان.</x:v>
      </x:c>
      <x:c r="J8" s="10" t="str">
        <x:v>Ces exigences dépendent du programme. Source : uni-assist, Language certificates.</x:v>
      </x:c>
      <x:c r="K8" s="10" t="str">
        <x:v>Ces exigences dépendent du programme. Source : uni-assist, Language certificates.</x:v>
      </x:c>
      <x:c r="L8" s="10" t="str">
        <x:v>Aucun hashtag nécessaire</x:v>
      </x:c>
      <x:c r="M8" s="10" t="str">
        <x:v>Vérifier le programme</x:v>
      </x:c>
      <x:c r="N8" s="10" t="str">
        <x:v>4 mots qui apparaissent successivement.</x:v>
      </x:c>
      <x:c r="O8" s="10" t="str">
        <x:v>Texte préparé ; visuel à produire</x:v>
      </x:c>
      <x:c r="P8" s="10" t="str">
        <x:v>Éducatif</x:v>
      </x:c>
      <x:c r="Q8" s="10" t="str"/>
      <x:c r="R8" s="10" t="str">
        <x:v>https://www.uni-assist.de/en/how-to-apply/assemble-your-documents/language-certificates/</x:v>
      </x:c>
    </x:row>
    <x:row r="9" ht="185" customHeight="1">
      <x:c r="A9" s="9" t="n">
        <x:v>4</x:v>
      </x:c>
      <x:c r="B9" s="13" t="n">
        <x:f>'Calendrier'!$B$4+A9-1</x:f>
        <x:v>46296</x:v>
      </x:c>
      <x:c r="C9" s="16" t="n">
        <x:v>0.75</x:v>
      </x:c>
      <x:c r="D9" s="9" t="str">
        <x:v>ST05</x:v>
      </x:c>
      <x:c r="E9" s="9" t="str">
        <x:v>Instagram / Facebook</x:v>
      </x:c>
      <x:c r="F9" s="9" t="str">
        <x:v>Story · 1 écran</x:v>
      </x:c>
      <x:c r="G9" s="9" t="str">
        <x:v>Besoin d’un premier échange ?</x:v>
      </x:c>
      <x:c r="H9" s="9" t="str">
        <x:v>Français + tunisien</x:v>
      </x:c>
      <x:c r="I9" s="9" t="str">
        <x:v>Pour une évaluation de ton profil, contacte AlmaGo sur WhatsApp.
تحب تحكي على مشروعك؟ صاحب AlmaGo يجاوبك شخصيًّا.</x:v>
      </x:c>
      <x:c r="J9" s="9" t="str">
        <x:v>Après ouverture seulement : sticker lien vers le contact vérifié. Aucune pièce personnelle en commentaire.</x:v>
      </x:c>
      <x:c r="K9" s="9" t="str">
        <x:v>Après ouverture seulement : sticker lien vers le contact vérifié. Aucune pièce personnelle en commentaire.</x:v>
      </x:c>
      <x:c r="L9" s="9" t="str">
        <x:v>Aucun hashtag nécessaire</x:v>
      </x:c>
      <x:c r="M9" s="9" t="str">
        <x:v>Contacter le propriétaire</x:v>
      </x:c>
      <x:c r="N9" s="9" t="str">
        <x:v>Fond encre, cartouche contact sans faux numéro.</x:v>
      </x:c>
      <x:c r="O9" s="9" t="str">
        <x:v>Contact et offre à confirmer</x:v>
      </x:c>
      <x:c r="P9" s="9" t="str">
        <x:v>Commercial</x:v>
      </x:c>
      <x:c r="Q9" s="9" t="str">
        <x:v>L’accompagnement AlmaGo se prépare. Abonne-toi pour connaître son ouverture.
خدمات AlmaGo تتحضّر. تابعنا باش تعرف وقتاش نبدأوا.</x:v>
      </x:c>
      <x:c r="R9" s="9" t="str"/>
    </x:row>
    <x:row r="10" ht="185" customHeight="1">
      <x:c r="A10" s="10" t="n">
        <x:v>5</x:v>
      </x:c>
      <x:c r="B10" s="14" t="n">
        <x:f>'Calendrier'!$B$4+A10-1</x:f>
        <x:v>46297</x:v>
      </x:c>
      <x:c r="C10" s="17" t="n">
        <x:v>0.5208333333333334</x:v>
      </x:c>
      <x:c r="D10" s="10" t="str">
        <x:v>ST06</x:v>
      </x:c>
      <x:c r="E10" s="10" t="str">
        <x:v>Instagram / Facebook</x:v>
      </x:c>
      <x:c r="F10" s="10" t="str">
        <x:v>Story · 1 écran</x:v>
      </x:c>
      <x:c r="G10" s="10" t="str">
        <x:v>Vrai ou faux ?</x:v>
      </x:c>
      <x:c r="H10" s="10" t="str">
        <x:v>Français + tunisien</x:v>
      </x:c>
      <x:c r="I10" s="10" t="str">
        <x:v>Une admission garantit le visa.
قبول الجامعة يضمن الفيزا؟</x:v>
      </x:c>
      <x:c r="J10" s="10" t="str">
        <x:v>Quiz : Faux. L’université décide de l’admission ; les autorités compétentes décident du visa. Source : Ambassade d’Allemagne à Tunis.</x:v>
      </x:c>
      <x:c r="K10" s="10" t="str">
        <x:v>Quiz : Faux. L’université décide de l’admission ; les autorités compétentes décident du visa. Source : Ambassade d’Allemagne à Tunis.</x:v>
      </x:c>
      <x:c r="L10" s="10" t="str">
        <x:v>Aucun hashtag nécessaire</x:v>
      </x:c>
      <x:c r="M10" s="10" t="str">
        <x:v>Répondre au quiz</x:v>
      </x:c>
      <x:c r="N10" s="10" t="str">
        <x:v>Deux cartes Vrai / Faux, réponse explicative visible après interaction.</x:v>
      </x:c>
      <x:c r="O10" s="10" t="str">
        <x:v>Texte préparé ; visuel à produire</x:v>
      </x:c>
      <x:c r="P10" s="10" t="str">
        <x:v>Éducatif</x:v>
      </x:c>
      <x:c r="Q10" s="10" t="str"/>
      <x:c r="R10" s="10" t="str">
        <x:v>https://tunis.diplo.de/tn-fr/service/05-visaeinreise/1672716-1672716
https://tunis.diplo.de/tn-fr/service/05-visaeinreise/2573172-2573172</x:v>
      </x:c>
    </x:row>
    <x:row r="11" ht="185" customHeight="1">
      <x:c r="A11" s="9" t="n">
        <x:v>6</x:v>
      </x:c>
      <x:c r="B11" s="13" t="n">
        <x:f>'Calendrier'!$B$4+A11-1</x:f>
        <x:v>46298</x:v>
      </x:c>
      <x:c r="C11" s="16" t="n">
        <x:v>0.5208333333333334</x:v>
      </x:c>
      <x:c r="D11" s="9" t="str">
        <x:v>ST07</x:v>
      </x:c>
      <x:c r="E11" s="9" t="str">
        <x:v>Instagram / Facebook</x:v>
      </x:c>
      <x:c r="F11" s="9" t="str">
        <x:v>Story · 1 écran</x:v>
      </x:c>
      <x:c r="G11" s="9" t="str">
        <x:v>Le bon réflexe pour un dossier</x:v>
      </x:c>
      <x:c r="H11" s="9" t="str">
        <x:v>Français + tunisien</x:v>
      </x:c>
      <x:c r="I11" s="9" t="str">
        <x:v>La liste de pièces dépend du programme et du destinataire.
ثبّت في القائمة الرسمية متاع ملفّك.</x:v>
      </x:c>
      <x:c r="J11" s="9" t="str">
        <x:v>Ne mélange pas la checklist de candidature et celle du visa.</x:v>
      </x:c>
      <x:c r="K11" s="9" t="str">
        <x:v>Ne mélange pas la checklist de candidature et celle du visa.</x:v>
      </x:c>
      <x:c r="L11" s="9" t="str">
        <x:v>Aucun hashtag nécessaire</x:v>
      </x:c>
      <x:c r="M11" s="9" t="str">
        <x:v>Vérifier sa checklist</x:v>
      </x:c>
      <x:c r="N11" s="9" t="str">
        <x:v>Deux dossiers « candidature » et « visa ». Aucun document réel.</x:v>
      </x:c>
      <x:c r="O11" s="9" t="str">
        <x:v>Texte préparé ; visuel à produire</x:v>
      </x:c>
      <x:c r="P11" s="9" t="str">
        <x:v>Éducatif</x:v>
      </x:c>
      <x:c r="Q11" s="9" t="str"/>
      <x:c r="R11" s="9" t="str">
        <x:v>https://www.uni-assist.de/en/how-to-apply/assemble-your-documents/educational-certificates/
https://www.uni-assist.de/en/how-to-apply/assemble-your-documents/translations/
https://www.uni-assist.de/en/faqs/assemble-your-documents/</x:v>
      </x:c>
    </x:row>
    <x:row r="12" ht="185" customHeight="1">
      <x:c r="A12" s="10" t="n">
        <x:v>7</x:v>
      </x:c>
      <x:c r="B12" s="14" t="n">
        <x:f>'Calendrier'!$B$4+A12-1</x:f>
        <x:v>46299</x:v>
      </x:c>
      <x:c r="C12" s="17" t="n">
        <x:v>0.75</x:v>
      </x:c>
      <x:c r="D12" s="10" t="str">
        <x:v>ST08</x:v>
      </x:c>
      <x:c r="E12" s="10" t="str">
        <x:v>Instagram / Facebook</x:v>
      </x:c>
      <x:c r="F12" s="10" t="str">
        <x:v>Story · 1 écran</x:v>
      </x:c>
      <x:c r="G12" s="10" t="str">
        <x:v>Ton projet mérite d’être clarifié</x:v>
      </x:c>
      <x:c r="H12" s="10" t="str">
        <x:v>Français + tunisien</x:v>
      </x:c>
      <x:c r="I12" s="10" t="str">
        <x:v>Pour une évaluation de ton profil, contacte AlmaGo sur WhatsApp.
ابدأ بملخّص على قرايتك ومشروعك.</x:v>
      </x:c>
      <x:c r="J12" s="10" t="str">
        <x:v>Le propriétaire te répond personnellement et précise les services disponibles.</x:v>
      </x:c>
      <x:c r="K12" s="10" t="str">
        <x:v>Le propriétaire te répond personnellement et précise les services disponibles.</x:v>
      </x:c>
      <x:c r="L12" s="10" t="str">
        <x:v>Aucun hashtag nécessaire</x:v>
      </x:c>
      <x:c r="M12" s="10" t="str">
        <x:v>Contacter le propriétaire</x:v>
      </x:c>
      <x:c r="N12" s="10" t="str">
        <x:v>Carte contact et logo. Lien seulement après vérification.</x:v>
      </x:c>
      <x:c r="O12" s="10" t="str">
        <x:v>Contact et offre à confirmer</x:v>
      </x:c>
      <x:c r="P12" s="10" t="str">
        <x:v>Commercial</x:v>
      </x:c>
      <x:c r="Q12" s="10" t="str">
        <x:v>L’accompagnement AlmaGo se prépare. Abonne-toi pour connaître son ouverture.
خدمات AlmaGo تتحضّر. تابعنا باش تعرف وقتاش نبدأوا.</x:v>
      </x:c>
      <x:c r="R12" s="10" t="str"/>
    </x:row>
    <x:row r="13" ht="185" customHeight="1">
      <x:c r="A13" s="9" t="n">
        <x:v>8</x:v>
      </x:c>
      <x:c r="B13" s="13" t="n">
        <x:f>'Calendrier'!$B$4+A13-1</x:f>
        <x:v>46300</x:v>
      </x:c>
      <x:c r="C13" s="16" t="n">
        <x:v>0.5208333333333334</x:v>
      </x:c>
      <x:c r="D13" s="9" t="str">
        <x:v>ST09</x:v>
      </x:c>
      <x:c r="E13" s="9" t="str">
        <x:v>Instagram / Facebook</x:v>
      </x:c>
      <x:c r="F13" s="9" t="str">
        <x:v>Story · 1 écran</x:v>
      </x:c>
      <x:c r="G13" s="9" t="str">
        <x:v>La prochaine explication ?</x:v>
      </x:c>
      <x:c r="H13" s="9" t="str">
        <x:v>Français + tunisien</x:v>
      </x:c>
      <x:c r="I13" s="9" t="str">
        <x:v>شنوّة تحب نفسّرولك أكثر؟
Langue ou candidature ?</x:v>
      </x:c>
      <x:c r="J13" s="9" t="str">
        <x:v>Sondage natif ; utiliser les réponses pour choisir un approfondissement.</x:v>
      </x:c>
      <x:c r="K13" s="9" t="str">
        <x:v>Question dans la story ; utiliser les réponses pour choisir un approfondissement.</x:v>
      </x:c>
      <x:c r="L13" s="9" t="str">
        <x:v>Aucun hashtag nécessaire</x:v>
      </x:c>
      <x:c r="M13" s="9" t="str">
        <x:v>Voter</x:v>
      </x:c>
      <x:c r="N13" s="9" t="str">
        <x:v>2 cartes, fond crème, accent vert.</x:v>
      </x:c>
      <x:c r="O13" s="9" t="str">
        <x:v>Texte préparé ; visuel à produire</x:v>
      </x:c>
      <x:c r="P13" s="9" t="str">
        <x:v>Confiance</x:v>
      </x:c>
      <x:c r="Q13" s="9" t="str"/>
      <x:c r="R13" s="9" t="str">
        <x:v>https://www.uni-assist.de/en/how-to-apply/plan-your-application/vpd/</x:v>
      </x:c>
    </x:row>
    <x:row r="14" ht="185" customHeight="1">
      <x:c r="A14" s="10" t="n">
        <x:v>8</x:v>
      </x:c>
      <x:c r="B14" s="14" t="n">
        <x:f>'Calendrier'!$B$4+A14-1</x:f>
        <x:v>46300</x:v>
      </x:c>
      <x:c r="C14" s="17" t="n">
        <x:v>0.75</x:v>
      </x:c>
      <x:c r="D14" s="10" t="str">
        <x:v>ST10</x:v>
      </x:c>
      <x:c r="E14" s="10" t="str">
        <x:v>Instagram / Facebook</x:v>
      </x:c>
      <x:c r="F14" s="10" t="str">
        <x:v>Story · 1 écran</x:v>
      </x:c>
      <x:c r="G14" s="10" t="str">
        <x:v>VPD : retiens cette étape</x:v>
      </x:c>
      <x:c r="H14" s="10" t="str">
        <x:v>Français + tunisien</x:v>
      </x:c>
      <x:c r="I14" s="10" t="str">
        <x:v>VPD ≠ admission. La candidature auprès de l’université reste à déposer.
بعد الـ VPD، يلزم تكمّل الترشّح حسب تعليمات الجامعة.</x:v>
      </x:c>
      <x:c r="J14" s="10" t="str">
        <x:v>Source : uni-assist, VPD. Respecter le délai du programme.</x:v>
      </x:c>
      <x:c r="K14" s="10" t="str">
        <x:v>Source : uni-assist, VPD. Respecter le délai du programme.</x:v>
      </x:c>
      <x:c r="L14" s="10" t="str">
        <x:v>Aucun hashtag nécessaire</x:v>
      </x:c>
      <x:c r="M14" s="10" t="str">
        <x:v>Noter l’étape suivante</x:v>
      </x:c>
      <x:c r="N14" s="10" t="str">
        <x:v>Diagramme de 3 cases, pas de tampon admission.</x:v>
      </x:c>
      <x:c r="O14" s="10" t="str">
        <x:v>Texte préparé ; visuel à produire</x:v>
      </x:c>
      <x:c r="P14" s="10" t="str">
        <x:v>Éducatif</x:v>
      </x:c>
      <x:c r="Q14" s="10" t="str"/>
      <x:c r="R14" s="10" t="str">
        <x:v>https://www.uni-assist.de/en/how-to-apply/plan-your-application/vpd/</x:v>
      </x:c>
    </x:row>
    <x:row r="15" ht="185" customHeight="1">
      <x:c r="A15" s="9" t="n">
        <x:v>9</x:v>
      </x:c>
      <x:c r="B15" s="13" t="n">
        <x:f>'Calendrier'!$B$4+A15-1</x:f>
        <x:v>46301</x:v>
      </x:c>
      <x:c r="C15" s="16" t="n">
        <x:v>0.5208333333333334</x:v>
      </x:c>
      <x:c r="D15" s="9" t="str">
        <x:v>ST11</x:v>
      </x:c>
      <x:c r="E15" s="9" t="str">
        <x:v>Instagram / Facebook</x:v>
      </x:c>
      <x:c r="F15" s="9" t="str">
        <x:v>Story · 1 écran</x:v>
      </x:c>
      <x:c r="G15" s="9" t="str">
        <x:v>Studienkolleg : automatique ?</x:v>
      </x:c>
      <x:c r="H15" s="9" t="str">
        <x:v>Français + tunisien</x:v>
      </x:c>
      <x:c r="I15" s="9" t="str">
        <x:v>Non : vérifie ton diplôme, ton parcours et les exigences du programme.
موش قاعدة واحدة للناس الكلّ.</x:v>
      </x:c>
      <x:c r="J15" s="9" t="str">
        <x:v>Source : DAAD admission database et uni-assist Studienkolleg. Pas de diagnostic individuel.</x:v>
      </x:c>
      <x:c r="K15" s="9" t="str">
        <x:v>Source : DAAD admission database et uni-assist Studienkolleg. Pas de diagnostic individuel.</x:v>
      </x:c>
      <x:c r="L15" s="9" t="str">
        <x:v>Aucun hashtag nécessaire</x:v>
      </x:c>
      <x:c r="M15" s="9" t="str">
        <x:v>Consulter le carrousel après publication</x:v>
      </x:c>
      <x:c r="N15" s="9" t="str">
        <x:v>Titre allemand séparé, définition française/tunisienne.</x:v>
      </x:c>
      <x:c r="O15" s="9" t="str">
        <x:v>Texte préparé ; visuel à produire</x:v>
      </x:c>
      <x:c r="P15" s="9" t="str">
        <x:v>Éducatif</x:v>
      </x:c>
      <x:c r="Q15" s="9" t="str"/>
      <x:c r="R15" s="9" t="str">
        <x:v>https://www.daad.de/en/studying-in-germany/requirements/admission-database/
https://www.uni-assist.de/en/how-to-apply/get-information/studienkolleg-preparatory-course/
https://www.make-it-in-germany.com/en/study-vocational-training/studies-in-germany/requirements</x:v>
      </x:c>
    </x:row>
    <x:row r="16" ht="185" customHeight="1">
      <x:c r="A16" s="10" t="n">
        <x:v>10</x:v>
      </x:c>
      <x:c r="B16" s="14" t="n">
        <x:f>'Calendrier'!$B$4+A16-1</x:f>
        <x:v>46302</x:v>
      </x:c>
      <x:c r="C16" s="17" t="n">
        <x:v>0.5208333333333334</x:v>
      </x:c>
      <x:c r="D16" s="10" t="str">
        <x:v>ST12</x:v>
      </x:c>
      <x:c r="E16" s="10" t="str">
        <x:v>Instagram / Facebook</x:v>
      </x:c>
      <x:c r="F16" s="10" t="str">
        <x:v>Story · 1 écran</x:v>
      </x:c>
      <x:c r="G16" s="10" t="str">
        <x:v>Budget : pense à l’arrivée</x:v>
      </x:c>
      <x:c r="H16" s="10" t="str">
        <x:v>Français + tunisien</x:v>
      </x:c>
      <x:c r="I16" s="10" t="str">
        <x:v>Transport + installation + dépôt de garantie éventuel + premières dépenses.
حضّر مصاريف الوصول زادة.</x:v>
      </x:c>
      <x:c r="J16" s="10" t="str">
        <x:v>Ajoute ces postes à ton budget réel. Source : DAAD, finances.</x:v>
      </x:c>
      <x:c r="K16" s="10" t="str">
        <x:v>Ajoute ces postes à ton budget réel. Source : DAAD, finances.</x:v>
      </x:c>
      <x:c r="L16" s="10" t="str">
        <x:v>Aucun hashtag nécessaire</x:v>
      </x:c>
      <x:c r="M16" s="10" t="str">
        <x:v>Ajouter les frais d’arrivée</x:v>
      </x:c>
      <x:c r="N16" s="10" t="str">
        <x:v>Liste animée sans montant inventé.</x:v>
      </x:c>
      <x:c r="O16" s="10" t="str">
        <x:v>Texte préparé ; visuel à produire</x:v>
      </x:c>
      <x:c r="P16" s="10" t="str">
        <x:v>Éducatif</x:v>
      </x:c>
      <x:c r="Q16" s="10" t="str"/>
      <x:c r="R16" s="10" t="str">
        <x:v>https://www.make-it-in-germany.com/en/visa-residence/types/studying
https://www.daad.de/en/studying-in-germany/living-in-germany/finances/</x:v>
      </x:c>
    </x:row>
    <x:row r="17" ht="185" customHeight="1">
      <x:c r="A17" s="9" t="n">
        <x:v>11</x:v>
      </x:c>
      <x:c r="B17" s="13" t="n">
        <x:f>'Calendrier'!$B$4+A17-1</x:f>
        <x:v>46303</x:v>
      </x:c>
      <x:c r="C17" s="16" t="n">
        <x:v>0.5208333333333334</x:v>
      </x:c>
      <x:c r="D17" s="9" t="str">
        <x:v>ST13</x:v>
      </x:c>
      <x:c r="E17" s="9" t="str">
        <x:v>Instagram / Facebook</x:v>
      </x:c>
      <x:c r="F17" s="9" t="str">
        <x:v>Story · 1 écran</x:v>
      </x:c>
      <x:c r="G17" s="9" t="str">
        <x:v>Logement : compare le total</x:v>
      </x:c>
      <x:c r="H17" s="9" t="str">
        <x:v>Français + tunisien</x:v>
      </x:c>
      <x:c r="I17" s="9" t="str">
        <x:v>Loyer, charges et dépenses payées séparément.
ثبّت شنوة داخل في الكراء وشنوة تخلّص وحدو.</x:v>
      </x:c>
      <x:c r="J17" s="9" t="str">
        <x:v>Source : DAAD, Renting a Room. Les conditions varient selon le logement.</x:v>
      </x:c>
      <x:c r="K17" s="9" t="str">
        <x:v>Source : DAAD, Renting a Room. Les conditions varient selon le logement.</x:v>
      </x:c>
      <x:c r="L17" s="9" t="str">
        <x:v>Aucun hashtag nécessaire</x:v>
      </x:c>
      <x:c r="M17" s="9" t="str">
        <x:v>Comparer les postes</x:v>
      </x:c>
      <x:c r="N17" s="9" t="str">
        <x:v>3 colonnes sans prix ni offre immobilière.</x:v>
      </x:c>
      <x:c r="O17" s="9" t="str">
        <x:v>Texte préparé ; visuel à produire</x:v>
      </x:c>
      <x:c r="P17" s="9" t="str">
        <x:v>Éducatif</x:v>
      </x:c>
      <x:c r="Q17" s="9" t="str"/>
      <x:c r="R17" s="9" t="str">
        <x:v>https://www.daad.de/en/studying-in-germany/living-in-germany/renting/
https://www.daad.de/en/studying-in-germany/living-in-germany/finances/</x:v>
      </x:c>
    </x:row>
    <x:row r="18" ht="185" customHeight="1">
      <x:c r="A18" s="10" t="n">
        <x:v>12</x:v>
      </x:c>
      <x:c r="B18" s="14" t="n">
        <x:f>'Calendrier'!$B$4+A18-1</x:f>
        <x:v>46304</x:v>
      </x:c>
      <x:c r="C18" s="17" t="n">
        <x:v>0.5208333333333334</x:v>
      </x:c>
      <x:c r="D18" s="10" t="str">
        <x:v>ST14</x:v>
      </x:c>
      <x:c r="E18" s="10" t="str">
        <x:v>Instagram / Facebook</x:v>
      </x:c>
      <x:c r="F18" s="10" t="str">
        <x:v>Story · 1 écran</x:v>
      </x:c>
      <x:c r="G18" s="10" t="str">
        <x:v>Un programme, une échéance</x:v>
      </x:c>
      <x:c r="H18" s="10" t="str">
        <x:v>Français + tunisien</x:v>
      </x:c>
      <x:c r="I18" s="10" t="str">
        <x:v>Note aussi les étapes préalables et le moment où fournir les justificatifs.
موش نفس آخر أجل لكل التكوينات.</x:v>
      </x:c>
      <x:c r="J18" s="10" t="str">
        <x:v>Source : uni-assist, Plan your application. Vérifie le programme exact.</x:v>
      </x:c>
      <x:c r="K18" s="10" t="str">
        <x:v>Source : uni-assist, Plan your application. Vérifie le programme exact.</x:v>
      </x:c>
      <x:c r="L18" s="10" t="str">
        <x:v>Aucun hashtag nécessaire</x:v>
      </x:c>
      <x:c r="M18" s="10" t="str">
        <x:v>Compléter son calendrier</x:v>
      </x:c>
      <x:c r="N18" s="10" t="str">
        <x:v>Calendrier fictif avec cases vides.</x:v>
      </x:c>
      <x:c r="O18" s="10" t="str">
        <x:v>Texte préparé ; visuel à produire</x:v>
      </x:c>
      <x:c r="P18" s="10" t="str">
        <x:v>Éducatif</x:v>
      </x:c>
      <x:c r="Q18" s="10" t="str"/>
      <x:c r="R18" s="10" t="str">
        <x:v>https://www.uni-assist.de/en/faqs/plan-your-application/</x:v>
      </x:c>
    </x:row>
    <x:row r="19" ht="185" customHeight="1">
      <x:c r="A19" s="9" t="n">
        <x:v>13</x:v>
      </x:c>
      <x:c r="B19" s="13" t="n">
        <x:f>'Calendrier'!$B$4+A19-1</x:f>
        <x:v>46305</x:v>
      </x:c>
      <x:c r="C19" s="16" t="n">
        <x:v>0.75</x:v>
      </x:c>
      <x:c r="D19" s="9" t="str">
        <x:v>ST15</x:v>
      </x:c>
      <x:c r="E19" s="9" t="str">
        <x:v>Instagram / Facebook</x:v>
      </x:c>
      <x:c r="F19" s="9" t="str">
        <x:v>Story · 1 écran</x:v>
      </x:c>
      <x:c r="G19" s="9" t="str">
        <x:v>Étudiant ou parent : parlons du projet</x:v>
      </x:c>
      <x:c r="H19" s="9" t="str">
        <x:v>Français + tunisien</x:v>
      </x:c>
      <x:c r="I19" s="9" t="str">
        <x:v>Pour une évaluation de ton profil, contacte AlmaGo sur WhatsApp.
طالب وإلا وليّ، تنجم تحكي مع صاحب AlmaGo على المشروع.</x:v>
      </x:c>
      <x:c r="J19" s="9" t="str">
        <x:v>Coordonnées et conditions de l’évaluation confirmées avant publication.</x:v>
      </x:c>
      <x:c r="K19" s="9" t="str">
        <x:v>Coordonnées et conditions de l’évaluation confirmées avant publication.</x:v>
      </x:c>
      <x:c r="L19" s="9" t="str">
        <x:v>Aucun hashtag nécessaire</x:v>
      </x:c>
      <x:c r="M19" s="9" t="str">
        <x:v>Contacter le propriétaire</x:v>
      </x:c>
      <x:c r="N19" s="9" t="str">
        <x:v>Carte contact avec lien vérifié, sans promesse de résultat.</x:v>
      </x:c>
      <x:c r="O19" s="9" t="str">
        <x:v>Contact et offre à confirmer</x:v>
      </x:c>
      <x:c r="P19" s="9" t="str">
        <x:v>Commercial</x:v>
      </x:c>
      <x:c r="Q19" s="9" t="str">
        <x:v>L’accompagnement AlmaGo se prépare. Abonne-toi pour connaître son ouverture.
خدمات AlmaGo تتحضّر. تابعنا باش تعرف وقتاش نبدأوا.</x:v>
      </x:c>
      <x:c r="R19" s="9" t="str"/>
    </x:row>
    <x:row r="20" ht="185" customHeight="1">
      <x:c r="A20" s="10" t="n">
        <x:v>14</x:v>
      </x:c>
      <x:c r="B20" s="14" t="n">
        <x:f>'Calendrier'!$B$4+A20-1</x:f>
        <x:v>46306</x:v>
      </x:c>
      <x:c r="C20" s="17" t="n">
        <x:v>0.75</x:v>
      </x:c>
      <x:c r="D20" s="10" t="str">
        <x:v>ST16</x:v>
      </x:c>
      <x:c r="E20" s="10" t="str">
        <x:v>Instagram / Facebook</x:v>
      </x:c>
      <x:c r="F20" s="10" t="str">
        <x:v>Story · 1 écran</x:v>
      </x:c>
      <x:c r="G20" s="10" t="str">
        <x:v>Quelle question reste ouverte ?</x:v>
      </x:c>
      <x:c r="H20" s="10" t="str">
        <x:v>Français + tunisien</x:v>
      </x:c>
      <x:c r="I20" s="10" t="str">
        <x:v>شنوّة السؤال اللي مازال عندك؟
Pose une question générale, sans données personnelles.</x:v>
      </x:c>
      <x:c r="J20" s="10" t="str">
        <x:v>Sticker question. Sélectionner des questions anonymisées pour la suite, sans inventer de réponse reçue.</x:v>
      </x:c>
      <x:c r="K20" s="10" t="str">
        <x:v>Sticker question. Sélectionner des questions anonymisées pour la suite, sans inventer de réponse reçue.</x:v>
      </x:c>
      <x:c r="L20" s="10" t="str">
        <x:v>Aucun hashtag nécessaire</x:v>
      </x:c>
      <x:c r="M20" s="10" t="str">
        <x:v>Poser une question</x:v>
      </x:c>
      <x:c r="N20" s="10" t="str">
        <x:v>Fond crème, champ question, logo discret.</x:v>
      </x:c>
      <x:c r="O20" s="10" t="str">
        <x:v>Texte préparé ; visuel à produire</x:v>
      </x:c>
      <x:c r="P20" s="10" t="str">
        <x:v>Confiance</x:v>
      </x:c>
      <x:c r="Q20" s="10" t="str"/>
      <x:c r="R20" s="10" t="str"/>
    </x:row>
  </x:sheetData>
  <x:pageMargins left="0.7" right="0.7" top="0.75" bottom="0.75" header="0.3" footer="0.3"/>
  <x:tableParts count="1">
    <x:tablePart xmlns:r="http://schemas.openxmlformats.org/officeDocument/2006/relationships" r:id="Rdf80369d3e9f4442"/>
  </x:tableParts>
</x:worksheet>
</file>

<file path=xl/worksheets/sheet5.xml><?xml version="1.0" encoding="utf-8"?>
<x:worksheet xmlns:x="http://schemas.openxmlformats.org/spreadsheetml/2006/main">
  <x:sheetPr>
    <x:tabColor rgb="FF176B5B"/>
  </x:sheetPr>
  <x:sheetViews>
    <x:sheetView showGridLines="0" workbookViewId="0">
      <x:pane ySplit="4" topLeftCell="A5" activePane="bottomLeft" state="frozen"/>
    </x:sheetView>
  </x:sheetViews>
  <x:sheetFormatPr defaultRowHeight="15"/>
  <x:cols>
    <x:col min="1" max="1" width="7.5" hidden="0" customWidth="1"/>
    <x:col min="2" max="2" width="13.75" hidden="0" customWidth="1"/>
    <x:col min="3" max="3" width="8.130000114440918" hidden="0" customWidth="1"/>
    <x:col min="4" max="4" width="13.130000114440918" hidden="0" customWidth="1"/>
    <x:col min="5" max="5" width="14.380000114440918" hidden="0" customWidth="1"/>
    <x:col min="6" max="6" width="12.5" hidden="0" customWidth="1"/>
    <x:col min="7" max="7" width="11.880000114440918" hidden="0" customWidth="1"/>
    <x:col min="8" max="8" width="11.880000114440918" hidden="0" customWidth="1"/>
    <x:col min="9" max="9" width="14.380000114440918" hidden="0" customWidth="1"/>
    <x:col min="10" max="10" width="14.380000114440918" hidden="0" customWidth="1"/>
    <x:col min="11" max="11" width="12.5" hidden="0" customWidth="1"/>
    <x:col min="12" max="12" width="15" hidden="0" customWidth="1"/>
    <x:col min="13" max="13" width="14.380000114440918" hidden="0" customWidth="1"/>
    <x:col min="14" max="14" width="15.630000114440918" hidden="0" customWidth="1"/>
    <x:col min="15" max="15" width="17.5" hidden="0" customWidth="1"/>
    <x:col min="16" max="16" width="16.8799991607666" hidden="0" customWidth="1"/>
    <x:col min="17" max="17" width="16.8799991607666" hidden="0" customWidth="1"/>
    <x:col min="18" max="18" width="48.75" hidden="0" customWidth="1"/>
    <x:col min="19" max="19" width="48.75" hidden="0" customWidth="1"/>
  </x:cols>
  <x:sheetData>
    <x:row r="1" ht="28" customHeight="1">
      <x:c r="A1" s="2" t="str">
        <x:v>Suivi des performances</x:v>
      </x:c>
      <x:c r="B1" s="1"/>
      <x:c r="C1" s="1"/>
      <x:c r="D1" s="1"/>
      <x:c r="E1" s="1"/>
      <x:c r="F1" s="1"/>
      <x:c r="G1" s="1"/>
      <x:c r="H1" s="1"/>
      <x:c r="I1" s="1"/>
      <x:c r="J1" s="1"/>
      <x:c r="K1" s="1"/>
      <x:c r="L1" s="1"/>
      <x:c r="M1" s="1"/>
      <x:c r="N1" s="1"/>
      <x:c r="O1" s="1"/>
      <x:c r="P1" s="1"/>
      <x:c r="Q1" s="1"/>
      <x:c r="R1" s="1"/>
      <x:c r="S1" s="1"/>
    </x:row>
    <x:row r="2">
      <x:c r="A2" s="3" t="str">
        <x:v>Mesures à 48 h ou à 7 jours, à indiquer. Laisser vide si indisponible. WhatsApp : totaux attribués fournis par le propriétaire.</x:v>
      </x:c>
      <x:c r="B2" s="1"/>
      <x:c r="C2" s="1"/>
      <x:c r="D2" s="1"/>
      <x:c r="E2" s="1"/>
      <x:c r="F2" s="1"/>
      <x:c r="G2" s="1"/>
      <x:c r="H2" s="1"/>
      <x:c r="I2" s="1"/>
      <x:c r="J2" s="1"/>
      <x:c r="K2" s="1"/>
      <x:c r="L2" s="1"/>
      <x:c r="M2" s="1"/>
      <x:c r="N2" s="1"/>
      <x:c r="O2" s="1"/>
      <x:c r="P2" s="1"/>
      <x:c r="Q2" s="1"/>
      <x:c r="R2" s="1"/>
      <x:c r="S2" s="1"/>
    </x:row>
    <x:row r="3">
      <x:c r="A3" s="1"/>
      <x:c r="B3" s="1"/>
      <x:c r="C3" s="1"/>
      <x:c r="D3" s="1"/>
      <x:c r="E3" s="1"/>
      <x:c r="F3" s="1"/>
      <x:c r="G3" s="1"/>
      <x:c r="H3" s="1"/>
      <x:c r="I3" s="1"/>
      <x:c r="J3" s="1"/>
      <x:c r="K3" s="1"/>
      <x:c r="L3" s="1"/>
      <x:c r="M3" s="1"/>
      <x:c r="N3" s="1"/>
      <x:c r="O3" s="1"/>
      <x:c r="P3" s="1"/>
      <x:c r="Q3" s="1"/>
      <x:c r="R3" s="1"/>
      <x:c r="S3" s="1"/>
    </x:row>
    <x:row r="4" ht="36" customHeight="1">
      <x:c r="A4" s="7" t="str">
        <x:v>Jour</x:v>
      </x:c>
      <x:c r="B4" s="7" t="str">
        <x:v>Date prévue</x:v>
      </x:c>
      <x:c r="C4" s="7" t="str">
        <x:v>ID</x:v>
      </x:c>
      <x:c r="D4" s="7" t="str">
        <x:v>Plateforme</x:v>
      </x:c>
      <x:c r="E4" s="7" t="str">
        <x:v>Date du relevé</x:v>
      </x:c>
      <x:c r="F4" s="7" t="str">
        <x:v>Âge (heures)</x:v>
      </x:c>
      <x:c r="G4" s="7" t="str">
        <x:v>Vues</x:v>
      </x:c>
      <x:c r="H4" s="7" t="str">
        <x:v>Portée</x:v>
      </x:c>
      <x:c r="I4" s="7" t="str">
        <x:v>Abonnés gagnés</x:v>
      </x:c>
      <x:c r="J4" s="7" t="str">
        <x:v>Sauvegardes</x:v>
      </x:c>
      <x:c r="K4" s="7" t="str">
        <x:v>Partages</x:v>
      </x:c>
      <x:c r="L4" s="7" t="str">
        <x:v>Commentaires</x:v>
      </x:c>
      <x:c r="M4" s="7" t="str">
        <x:v>Clics contact</x:v>
      </x:c>
      <x:c r="N4" s="7" t="str">
        <x:v>Messages sociaux</x:v>
      </x:c>
      <x:c r="O4" s="7" t="str">
        <x:v>Contacts WhatsApp</x:v>
      </x:c>
      <x:c r="P4" s="7" t="str">
        <x:v>Sauvegardes / portée</x:v>
      </x:c>
      <x:c r="Q4" s="7" t="str">
        <x:v>Partages / portée</x:v>
      </x:c>
      <x:c r="R4" s="7" t="str">
        <x:v>Apprentissage</x:v>
      </x:c>
      <x:c r="S4" s="7" t="str">
        <x:v>Action suivante</x:v>
      </x:c>
    </x:row>
    <x:row r="5" ht="48" customHeight="1">
      <x:c r="A5" s="9" t="n">
        <x:v>1</x:v>
      </x:c>
      <x:c r="B5" s="13" t="n">
        <x:f>'Calendrier'!$B$4+A5-1</x:f>
        <x:v>46293</x:v>
      </x:c>
      <x:c r="C5" s="9" t="str">
        <x:v>V01</x:v>
      </x:c>
      <x:c r="D5" s="9" t="str">
        <x:v>Instagram</x:v>
      </x:c>
      <x:c r="E5" s="22"/>
      <x:c r="F5" s="23"/>
      <x:c r="G5" s="23"/>
      <x:c r="H5" s="23"/>
      <x:c r="I5" s="23"/>
      <x:c r="J5" s="23"/>
      <x:c r="K5" s="23"/>
      <x:c r="L5" s="23"/>
      <x:c r="M5" s="23"/>
      <x:c r="N5" s="23"/>
      <x:c r="O5" s="23"/>
      <x:c r="P5" s="20" t="str">
        <x:f>IF(OR(H5="",H5=0,J5=""),"",J5/H5)</x:f>
      </x:c>
      <x:c r="Q5" s="20" t="str">
        <x:f>IF(OR(H5="",H5=0,K5=""),"",K5/H5)</x:f>
      </x:c>
      <x:c r="R5" s="9"/>
      <x:c r="S5" s="9"/>
    </x:row>
    <x:row r="6" ht="48" customHeight="1">
      <x:c r="A6" s="10" t="n">
        <x:v>1</x:v>
      </x:c>
      <x:c r="B6" s="14" t="n">
        <x:f>'Calendrier'!$B$4+A6-1</x:f>
        <x:v>46293</x:v>
      </x:c>
      <x:c r="C6" s="10" t="str">
        <x:v>V01</x:v>
      </x:c>
      <x:c r="D6" s="10" t="str">
        <x:v>TikTok</x:v>
      </x:c>
      <x:c r="E6" s="22"/>
      <x:c r="F6" s="23"/>
      <x:c r="G6" s="23"/>
      <x:c r="H6" s="23"/>
      <x:c r="I6" s="23"/>
      <x:c r="J6" s="23"/>
      <x:c r="K6" s="23"/>
      <x:c r="L6" s="23"/>
      <x:c r="M6" s="23"/>
      <x:c r="N6" s="23"/>
      <x:c r="O6" s="23"/>
      <x:c r="P6" s="21" t="str">
        <x:f>IF(OR(H6="",H6=0,J6=""),"",J6/H6)</x:f>
      </x:c>
      <x:c r="Q6" s="21" t="str">
        <x:f>IF(OR(H6="",H6=0,K6=""),"",K6/H6)</x:f>
      </x:c>
      <x:c r="R6" s="10"/>
      <x:c r="S6" s="10"/>
    </x:row>
    <x:row r="7" ht="48" customHeight="1">
      <x:c r="A7" s="9" t="n">
        <x:v>2</x:v>
      </x:c>
      <x:c r="B7" s="13" t="n">
        <x:f>'Calendrier'!$B$4+A7-1</x:f>
        <x:v>46294</x:v>
      </x:c>
      <x:c r="C7" s="9" t="str">
        <x:v>C01</x:v>
      </x:c>
      <x:c r="D7" s="9" t="str">
        <x:v>Instagram</x:v>
      </x:c>
      <x:c r="E7" s="22"/>
      <x:c r="F7" s="23"/>
      <x:c r="G7" s="23"/>
      <x:c r="H7" s="23"/>
      <x:c r="I7" s="23"/>
      <x:c r="J7" s="23"/>
      <x:c r="K7" s="23"/>
      <x:c r="L7" s="23"/>
      <x:c r="M7" s="23"/>
      <x:c r="N7" s="23"/>
      <x:c r="O7" s="23"/>
      <x:c r="P7" s="20" t="str">
        <x:f>IF(OR(H7="",H7=0,J7=""),"",J7/H7)</x:f>
      </x:c>
      <x:c r="Q7" s="20" t="str">
        <x:f>IF(OR(H7="",H7=0,K7=""),"",K7/H7)</x:f>
      </x:c>
      <x:c r="R7" s="9"/>
      <x:c r="S7" s="9"/>
    </x:row>
    <x:row r="8" ht="48" customHeight="1">
      <x:c r="A8" s="10" t="n">
        <x:v>2</x:v>
      </x:c>
      <x:c r="B8" s="14" t="n">
        <x:f>'Calendrier'!$B$4+A8-1</x:f>
        <x:v>46294</x:v>
      </x:c>
      <x:c r="C8" s="10" t="str">
        <x:v>C01</x:v>
      </x:c>
      <x:c r="D8" s="10" t="str">
        <x:v>Facebook</x:v>
      </x:c>
      <x:c r="E8" s="22"/>
      <x:c r="F8" s="23"/>
      <x:c r="G8" s="23"/>
      <x:c r="H8" s="23"/>
      <x:c r="I8" s="23"/>
      <x:c r="J8" s="23"/>
      <x:c r="K8" s="23"/>
      <x:c r="L8" s="23"/>
      <x:c r="M8" s="23"/>
      <x:c r="N8" s="23"/>
      <x:c r="O8" s="23"/>
      <x:c r="P8" s="21" t="str">
        <x:f>IF(OR(H8="",H8=0,J8=""),"",J8/H8)</x:f>
      </x:c>
      <x:c r="Q8" s="21" t="str">
        <x:f>IF(OR(H8="",H8=0,K8=""),"",K8/H8)</x:f>
      </x:c>
      <x:c r="R8" s="10"/>
      <x:c r="S8" s="10"/>
    </x:row>
    <x:row r="9" ht="48" customHeight="1">
      <x:c r="A9" s="9" t="n">
        <x:v>3</x:v>
      </x:c>
      <x:c r="B9" s="13" t="n">
        <x:f>'Calendrier'!$B$4+A9-1</x:f>
        <x:v>46295</x:v>
      </x:c>
      <x:c r="C9" s="9" t="str">
        <x:v>V02</x:v>
      </x:c>
      <x:c r="D9" s="9" t="str">
        <x:v>Instagram</x:v>
      </x:c>
      <x:c r="E9" s="22"/>
      <x:c r="F9" s="23"/>
      <x:c r="G9" s="23"/>
      <x:c r="H9" s="23"/>
      <x:c r="I9" s="23"/>
      <x:c r="J9" s="23"/>
      <x:c r="K9" s="23"/>
      <x:c r="L9" s="23"/>
      <x:c r="M9" s="23"/>
      <x:c r="N9" s="23"/>
      <x:c r="O9" s="23"/>
      <x:c r="P9" s="20" t="str">
        <x:f>IF(OR(H9="",H9=0,J9=""),"",J9/H9)</x:f>
      </x:c>
      <x:c r="Q9" s="20" t="str">
        <x:f>IF(OR(H9="",H9=0,K9=""),"",K9/H9)</x:f>
      </x:c>
      <x:c r="R9" s="9"/>
      <x:c r="S9" s="9"/>
    </x:row>
    <x:row r="10" ht="48" customHeight="1">
      <x:c r="A10" s="10" t="n">
        <x:v>3</x:v>
      </x:c>
      <x:c r="B10" s="14" t="n">
        <x:f>'Calendrier'!$B$4+A10-1</x:f>
        <x:v>46295</x:v>
      </x:c>
      <x:c r="C10" s="10" t="str">
        <x:v>V02</x:v>
      </x:c>
      <x:c r="D10" s="10" t="str">
        <x:v>TikTok</x:v>
      </x:c>
      <x:c r="E10" s="22"/>
      <x:c r="F10" s="23"/>
      <x:c r="G10" s="23"/>
      <x:c r="H10" s="23"/>
      <x:c r="I10" s="23"/>
      <x:c r="J10" s="23"/>
      <x:c r="K10" s="23"/>
      <x:c r="L10" s="23"/>
      <x:c r="M10" s="23"/>
      <x:c r="N10" s="23"/>
      <x:c r="O10" s="23"/>
      <x:c r="P10" s="21" t="str">
        <x:f>IF(OR(H10="",H10=0,J10=""),"",J10/H10)</x:f>
      </x:c>
      <x:c r="Q10" s="21" t="str">
        <x:f>IF(OR(H10="",H10=0,K10=""),"",K10/H10)</x:f>
      </x:c>
      <x:c r="R10" s="10"/>
      <x:c r="S10" s="10"/>
    </x:row>
    <x:row r="11" ht="48" customHeight="1">
      <x:c r="A11" s="9" t="n">
        <x:v>4</x:v>
      </x:c>
      <x:c r="B11" s="13" t="n">
        <x:f>'Calendrier'!$B$4+A11-1</x:f>
        <x:v>46296</x:v>
      </x:c>
      <x:c r="C11" s="9" t="str">
        <x:v>C02</x:v>
      </x:c>
      <x:c r="D11" s="9" t="str">
        <x:v>Instagram</x:v>
      </x:c>
      <x:c r="E11" s="22"/>
      <x:c r="F11" s="23"/>
      <x:c r="G11" s="23"/>
      <x:c r="H11" s="23"/>
      <x:c r="I11" s="23"/>
      <x:c r="J11" s="23"/>
      <x:c r="K11" s="23"/>
      <x:c r="L11" s="23"/>
      <x:c r="M11" s="23"/>
      <x:c r="N11" s="23"/>
      <x:c r="O11" s="23"/>
      <x:c r="P11" s="20" t="str">
        <x:f>IF(OR(H11="",H11=0,J11=""),"",J11/H11)</x:f>
      </x:c>
      <x:c r="Q11" s="20" t="str">
        <x:f>IF(OR(H11="",H11=0,K11=""),"",K11/H11)</x:f>
      </x:c>
      <x:c r="R11" s="9"/>
      <x:c r="S11" s="9"/>
    </x:row>
    <x:row r="12" ht="48" customHeight="1">
      <x:c r="A12" s="10" t="n">
        <x:v>4</x:v>
      </x:c>
      <x:c r="B12" s="14" t="n">
        <x:f>'Calendrier'!$B$4+A12-1</x:f>
        <x:v>46296</x:v>
      </x:c>
      <x:c r="C12" s="10" t="str">
        <x:v>C02</x:v>
      </x:c>
      <x:c r="D12" s="10" t="str">
        <x:v>Facebook</x:v>
      </x:c>
      <x:c r="E12" s="22"/>
      <x:c r="F12" s="23"/>
      <x:c r="G12" s="23"/>
      <x:c r="H12" s="23"/>
      <x:c r="I12" s="23"/>
      <x:c r="J12" s="23"/>
      <x:c r="K12" s="23"/>
      <x:c r="L12" s="23"/>
      <x:c r="M12" s="23"/>
      <x:c r="N12" s="23"/>
      <x:c r="O12" s="23"/>
      <x:c r="P12" s="21" t="str">
        <x:f>IF(OR(H12="",H12=0,J12=""),"",J12/H12)</x:f>
      </x:c>
      <x:c r="Q12" s="21" t="str">
        <x:f>IF(OR(H12="",H12=0,K12=""),"",K12/H12)</x:f>
      </x:c>
      <x:c r="R12" s="10"/>
      <x:c r="S12" s="10"/>
    </x:row>
    <x:row r="13" ht="48" customHeight="1">
      <x:c r="A13" s="9" t="n">
        <x:v>5</x:v>
      </x:c>
      <x:c r="B13" s="13" t="n">
        <x:f>'Calendrier'!$B$4+A13-1</x:f>
        <x:v>46297</x:v>
      </x:c>
      <x:c r="C13" s="9" t="str">
        <x:v>V03</x:v>
      </x:c>
      <x:c r="D13" s="9" t="str">
        <x:v>Instagram</x:v>
      </x:c>
      <x:c r="E13" s="22"/>
      <x:c r="F13" s="23"/>
      <x:c r="G13" s="23"/>
      <x:c r="H13" s="23"/>
      <x:c r="I13" s="23"/>
      <x:c r="J13" s="23"/>
      <x:c r="K13" s="23"/>
      <x:c r="L13" s="23"/>
      <x:c r="M13" s="23"/>
      <x:c r="N13" s="23"/>
      <x:c r="O13" s="23"/>
      <x:c r="P13" s="20" t="str">
        <x:f>IF(OR(H13="",H13=0,J13=""),"",J13/H13)</x:f>
      </x:c>
      <x:c r="Q13" s="20" t="str">
        <x:f>IF(OR(H13="",H13=0,K13=""),"",K13/H13)</x:f>
      </x:c>
      <x:c r="R13" s="9"/>
      <x:c r="S13" s="9"/>
    </x:row>
    <x:row r="14" ht="48" customHeight="1">
      <x:c r="A14" s="10" t="n">
        <x:v>5</x:v>
      </x:c>
      <x:c r="B14" s="14" t="n">
        <x:f>'Calendrier'!$B$4+A14-1</x:f>
        <x:v>46297</x:v>
      </x:c>
      <x:c r="C14" s="10" t="str">
        <x:v>V03</x:v>
      </x:c>
      <x:c r="D14" s="10" t="str">
        <x:v>TikTok</x:v>
      </x:c>
      <x:c r="E14" s="22"/>
      <x:c r="F14" s="23"/>
      <x:c r="G14" s="23"/>
      <x:c r="H14" s="23"/>
      <x:c r="I14" s="23"/>
      <x:c r="J14" s="23"/>
      <x:c r="K14" s="23"/>
      <x:c r="L14" s="23"/>
      <x:c r="M14" s="23"/>
      <x:c r="N14" s="23"/>
      <x:c r="O14" s="23"/>
      <x:c r="P14" s="21" t="str">
        <x:f>IF(OR(H14="",H14=0,J14=""),"",J14/H14)</x:f>
      </x:c>
      <x:c r="Q14" s="21" t="str">
        <x:f>IF(OR(H14="",H14=0,K14=""),"",K14/H14)</x:f>
      </x:c>
      <x:c r="R14" s="10"/>
      <x:c r="S14" s="10"/>
    </x:row>
    <x:row r="15" ht="48" customHeight="1">
      <x:c r="A15" s="9" t="n">
        <x:v>5</x:v>
      </x:c>
      <x:c r="B15" s="13" t="n">
        <x:f>'Calendrier'!$B$4+A15-1</x:f>
        <x:v>46297</x:v>
      </x:c>
      <x:c r="C15" s="9" t="str">
        <x:v>V03</x:v>
      </x:c>
      <x:c r="D15" s="9" t="str">
        <x:v>Facebook</x:v>
      </x:c>
      <x:c r="E15" s="22"/>
      <x:c r="F15" s="23"/>
      <x:c r="G15" s="23"/>
      <x:c r="H15" s="23"/>
      <x:c r="I15" s="23"/>
      <x:c r="J15" s="23"/>
      <x:c r="K15" s="23"/>
      <x:c r="L15" s="23"/>
      <x:c r="M15" s="23"/>
      <x:c r="N15" s="23"/>
      <x:c r="O15" s="23"/>
      <x:c r="P15" s="20" t="str">
        <x:f>IF(OR(H15="",H15=0,J15=""),"",J15/H15)</x:f>
      </x:c>
      <x:c r="Q15" s="20" t="str">
        <x:f>IF(OR(H15="",H15=0,K15=""),"",K15/H15)</x:f>
      </x:c>
      <x:c r="R15" s="9"/>
      <x:c r="S15" s="9"/>
    </x:row>
    <x:row r="16" ht="48" customHeight="1">
      <x:c r="A16" s="10" t="n">
        <x:v>6</x:v>
      </x:c>
      <x:c r="B16" s="14" t="n">
        <x:f>'Calendrier'!$B$4+A16-1</x:f>
        <x:v>46298</x:v>
      </x:c>
      <x:c r="C16" s="10" t="str">
        <x:v>C03</x:v>
      </x:c>
      <x:c r="D16" s="10" t="str">
        <x:v>Instagram</x:v>
      </x:c>
      <x:c r="E16" s="22"/>
      <x:c r="F16" s="23"/>
      <x:c r="G16" s="23"/>
      <x:c r="H16" s="23"/>
      <x:c r="I16" s="23"/>
      <x:c r="J16" s="23"/>
      <x:c r="K16" s="23"/>
      <x:c r="L16" s="23"/>
      <x:c r="M16" s="23"/>
      <x:c r="N16" s="23"/>
      <x:c r="O16" s="23"/>
      <x:c r="P16" s="21" t="str">
        <x:f>IF(OR(H16="",H16=0,J16=""),"",J16/H16)</x:f>
      </x:c>
      <x:c r="Q16" s="21" t="str">
        <x:f>IF(OR(H16="",H16=0,K16=""),"",K16/H16)</x:f>
      </x:c>
      <x:c r="R16" s="10"/>
      <x:c r="S16" s="10"/>
    </x:row>
    <x:row r="17" ht="48" customHeight="1">
      <x:c r="A17" s="9" t="n">
        <x:v>6</x:v>
      </x:c>
      <x:c r="B17" s="13" t="n">
        <x:f>'Calendrier'!$B$4+A17-1</x:f>
        <x:v>46298</x:v>
      </x:c>
      <x:c r="C17" s="9" t="str">
        <x:v>C03</x:v>
      </x:c>
      <x:c r="D17" s="9" t="str">
        <x:v>Facebook</x:v>
      </x:c>
      <x:c r="E17" s="22"/>
      <x:c r="F17" s="23"/>
      <x:c r="G17" s="23"/>
      <x:c r="H17" s="23"/>
      <x:c r="I17" s="23"/>
      <x:c r="J17" s="23"/>
      <x:c r="K17" s="23"/>
      <x:c r="L17" s="23"/>
      <x:c r="M17" s="23"/>
      <x:c r="N17" s="23"/>
      <x:c r="O17" s="23"/>
      <x:c r="P17" s="20" t="str">
        <x:f>IF(OR(H17="",H17=0,J17=""),"",J17/H17)</x:f>
      </x:c>
      <x:c r="Q17" s="20" t="str">
        <x:f>IF(OR(H17="",H17=0,K17=""),"",K17/H17)</x:f>
      </x:c>
      <x:c r="R17" s="9"/>
      <x:c r="S17" s="9"/>
    </x:row>
    <x:row r="18" ht="48" customHeight="1">
      <x:c r="A18" s="10" t="n">
        <x:v>7</x:v>
      </x:c>
      <x:c r="B18" s="14" t="n">
        <x:f>'Calendrier'!$B$4+A18-1</x:f>
        <x:v>46299</x:v>
      </x:c>
      <x:c r="C18" s="10" t="str">
        <x:v>V04</x:v>
      </x:c>
      <x:c r="D18" s="10" t="str">
        <x:v>Instagram</x:v>
      </x:c>
      <x:c r="E18" s="22"/>
      <x:c r="F18" s="23"/>
      <x:c r="G18" s="23"/>
      <x:c r="H18" s="23"/>
      <x:c r="I18" s="23"/>
      <x:c r="J18" s="23"/>
      <x:c r="K18" s="23"/>
      <x:c r="L18" s="23"/>
      <x:c r="M18" s="23"/>
      <x:c r="N18" s="23"/>
      <x:c r="O18" s="23"/>
      <x:c r="P18" s="21" t="str">
        <x:f>IF(OR(H18="",H18=0,J18=""),"",J18/H18)</x:f>
      </x:c>
      <x:c r="Q18" s="21" t="str">
        <x:f>IF(OR(H18="",H18=0,K18=""),"",K18/H18)</x:f>
      </x:c>
      <x:c r="R18" s="10"/>
      <x:c r="S18" s="10"/>
    </x:row>
    <x:row r="19" ht="48" customHeight="1">
      <x:c r="A19" s="9" t="n">
        <x:v>7</x:v>
      </x:c>
      <x:c r="B19" s="13" t="n">
        <x:f>'Calendrier'!$B$4+A19-1</x:f>
        <x:v>46299</x:v>
      </x:c>
      <x:c r="C19" s="9" t="str">
        <x:v>V04</x:v>
      </x:c>
      <x:c r="D19" s="9" t="str">
        <x:v>TikTok</x:v>
      </x:c>
      <x:c r="E19" s="22"/>
      <x:c r="F19" s="23"/>
      <x:c r="G19" s="23"/>
      <x:c r="H19" s="23"/>
      <x:c r="I19" s="23"/>
      <x:c r="J19" s="23"/>
      <x:c r="K19" s="23"/>
      <x:c r="L19" s="23"/>
      <x:c r="M19" s="23"/>
      <x:c r="N19" s="23"/>
      <x:c r="O19" s="23"/>
      <x:c r="P19" s="20" t="str">
        <x:f>IF(OR(H19="",H19=0,J19=""),"",J19/H19)</x:f>
      </x:c>
      <x:c r="Q19" s="20" t="str">
        <x:f>IF(OR(H19="",H19=0,K19=""),"",K19/H19)</x:f>
      </x:c>
      <x:c r="R19" s="9"/>
      <x:c r="S19" s="9"/>
    </x:row>
    <x:row r="20" ht="48" customHeight="1">
      <x:c r="A20" s="10" t="n">
        <x:v>7</x:v>
      </x:c>
      <x:c r="B20" s="14" t="n">
        <x:f>'Calendrier'!$B$4+A20-1</x:f>
        <x:v>46299</x:v>
      </x:c>
      <x:c r="C20" s="10" t="str">
        <x:v>V04</x:v>
      </x:c>
      <x:c r="D20" s="10" t="str">
        <x:v>Facebook</x:v>
      </x:c>
      <x:c r="E20" s="22"/>
      <x:c r="F20" s="23"/>
      <x:c r="G20" s="23"/>
      <x:c r="H20" s="23"/>
      <x:c r="I20" s="23"/>
      <x:c r="J20" s="23"/>
      <x:c r="K20" s="23"/>
      <x:c r="L20" s="23"/>
      <x:c r="M20" s="23"/>
      <x:c r="N20" s="23"/>
      <x:c r="O20" s="23"/>
      <x:c r="P20" s="21" t="str">
        <x:f>IF(OR(H20="",H20=0,J20=""),"",J20/H20)</x:f>
      </x:c>
      <x:c r="Q20" s="21" t="str">
        <x:f>IF(OR(H20="",H20=0,K20=""),"",K20/H20)</x:f>
      </x:c>
      <x:c r="R20" s="10"/>
      <x:c r="S20" s="10"/>
    </x:row>
    <x:row r="21" ht="48" customHeight="1">
      <x:c r="A21" s="9" t="n">
        <x:v>8</x:v>
      </x:c>
      <x:c r="B21" s="13" t="n">
        <x:f>'Calendrier'!$B$4+A21-1</x:f>
        <x:v>46300</x:v>
      </x:c>
      <x:c r="C21" s="9" t="str">
        <x:v>V05</x:v>
      </x:c>
      <x:c r="D21" s="9" t="str">
        <x:v>Instagram</x:v>
      </x:c>
      <x:c r="E21" s="22"/>
      <x:c r="F21" s="23"/>
      <x:c r="G21" s="23"/>
      <x:c r="H21" s="23"/>
      <x:c r="I21" s="23"/>
      <x:c r="J21" s="23"/>
      <x:c r="K21" s="23"/>
      <x:c r="L21" s="23"/>
      <x:c r="M21" s="23"/>
      <x:c r="N21" s="23"/>
      <x:c r="O21" s="23"/>
      <x:c r="P21" s="20" t="str">
        <x:f>IF(OR(H21="",H21=0,J21=""),"",J21/H21)</x:f>
      </x:c>
      <x:c r="Q21" s="20" t="str">
        <x:f>IF(OR(H21="",H21=0,K21=""),"",K21/H21)</x:f>
      </x:c>
      <x:c r="R21" s="9"/>
      <x:c r="S21" s="9"/>
    </x:row>
    <x:row r="22" ht="48" customHeight="1">
      <x:c r="A22" s="10" t="n">
        <x:v>8</x:v>
      </x:c>
      <x:c r="B22" s="14" t="n">
        <x:f>'Calendrier'!$B$4+A22-1</x:f>
        <x:v>46300</x:v>
      </x:c>
      <x:c r="C22" s="10" t="str">
        <x:v>V05</x:v>
      </x:c>
      <x:c r="D22" s="10" t="str">
        <x:v>TikTok</x:v>
      </x:c>
      <x:c r="E22" s="22"/>
      <x:c r="F22" s="23"/>
      <x:c r="G22" s="23"/>
      <x:c r="H22" s="23"/>
      <x:c r="I22" s="23"/>
      <x:c r="J22" s="23"/>
      <x:c r="K22" s="23"/>
      <x:c r="L22" s="23"/>
      <x:c r="M22" s="23"/>
      <x:c r="N22" s="23"/>
      <x:c r="O22" s="23"/>
      <x:c r="P22" s="21" t="str">
        <x:f>IF(OR(H22="",H22=0,J22=""),"",J22/H22)</x:f>
      </x:c>
      <x:c r="Q22" s="21" t="str">
        <x:f>IF(OR(H22="",H22=0,K22=""),"",K22/H22)</x:f>
      </x:c>
      <x:c r="R22" s="10"/>
      <x:c r="S22" s="10"/>
    </x:row>
    <x:row r="23" ht="48" customHeight="1">
      <x:c r="A23" s="9" t="n">
        <x:v>9</x:v>
      </x:c>
      <x:c r="B23" s="13" t="n">
        <x:f>'Calendrier'!$B$4+A23-1</x:f>
        <x:v>46301</x:v>
      </x:c>
      <x:c r="C23" s="9" t="str">
        <x:v>C04</x:v>
      </x:c>
      <x:c r="D23" s="9" t="str">
        <x:v>Instagram</x:v>
      </x:c>
      <x:c r="E23" s="22"/>
      <x:c r="F23" s="23"/>
      <x:c r="G23" s="23"/>
      <x:c r="H23" s="23"/>
      <x:c r="I23" s="23"/>
      <x:c r="J23" s="23"/>
      <x:c r="K23" s="23"/>
      <x:c r="L23" s="23"/>
      <x:c r="M23" s="23"/>
      <x:c r="N23" s="23"/>
      <x:c r="O23" s="23"/>
      <x:c r="P23" s="20" t="str">
        <x:f>IF(OR(H23="",H23=0,J23=""),"",J23/H23)</x:f>
      </x:c>
      <x:c r="Q23" s="20" t="str">
        <x:f>IF(OR(H23="",H23=0,K23=""),"",K23/H23)</x:f>
      </x:c>
      <x:c r="R23" s="9"/>
      <x:c r="S23" s="9"/>
    </x:row>
    <x:row r="24" ht="48" customHeight="1">
      <x:c r="A24" s="10" t="n">
        <x:v>9</x:v>
      </x:c>
      <x:c r="B24" s="14" t="n">
        <x:f>'Calendrier'!$B$4+A24-1</x:f>
        <x:v>46301</x:v>
      </x:c>
      <x:c r="C24" s="10" t="str">
        <x:v>C04</x:v>
      </x:c>
      <x:c r="D24" s="10" t="str">
        <x:v>Facebook</x:v>
      </x:c>
      <x:c r="E24" s="22"/>
      <x:c r="F24" s="23"/>
      <x:c r="G24" s="23"/>
      <x:c r="H24" s="23"/>
      <x:c r="I24" s="23"/>
      <x:c r="J24" s="23"/>
      <x:c r="K24" s="23"/>
      <x:c r="L24" s="23"/>
      <x:c r="M24" s="23"/>
      <x:c r="N24" s="23"/>
      <x:c r="O24" s="23"/>
      <x:c r="P24" s="21" t="str">
        <x:f>IF(OR(H24="",H24=0,J24=""),"",J24/H24)</x:f>
      </x:c>
      <x:c r="Q24" s="21" t="str">
        <x:f>IF(OR(H24="",H24=0,K24=""),"",K24/H24)</x:f>
      </x:c>
      <x:c r="R24" s="10"/>
      <x:c r="S24" s="10"/>
    </x:row>
    <x:row r="25" ht="48" customHeight="1">
      <x:c r="A25" s="9" t="n">
        <x:v>10</x:v>
      </x:c>
      <x:c r="B25" s="13" t="n">
        <x:f>'Calendrier'!$B$4+A25-1</x:f>
        <x:v>46302</x:v>
      </x:c>
      <x:c r="C25" s="9" t="str">
        <x:v>V06</x:v>
      </x:c>
      <x:c r="D25" s="9" t="str">
        <x:v>Instagram</x:v>
      </x:c>
      <x:c r="E25" s="22"/>
      <x:c r="F25" s="23"/>
      <x:c r="G25" s="23"/>
      <x:c r="H25" s="23"/>
      <x:c r="I25" s="23"/>
      <x:c r="J25" s="23"/>
      <x:c r="K25" s="23"/>
      <x:c r="L25" s="23"/>
      <x:c r="M25" s="23"/>
      <x:c r="N25" s="23"/>
      <x:c r="O25" s="23"/>
      <x:c r="P25" s="20" t="str">
        <x:f>IF(OR(H25="",H25=0,J25=""),"",J25/H25)</x:f>
      </x:c>
      <x:c r="Q25" s="20" t="str">
        <x:f>IF(OR(H25="",H25=0,K25=""),"",K25/H25)</x:f>
      </x:c>
      <x:c r="R25" s="9"/>
      <x:c r="S25" s="9"/>
    </x:row>
    <x:row r="26" ht="48" customHeight="1">
      <x:c r="A26" s="10" t="n">
        <x:v>10</x:v>
      </x:c>
      <x:c r="B26" s="14" t="n">
        <x:f>'Calendrier'!$B$4+A26-1</x:f>
        <x:v>46302</x:v>
      </x:c>
      <x:c r="C26" s="10" t="str">
        <x:v>V06</x:v>
      </x:c>
      <x:c r="D26" s="10" t="str">
        <x:v>TikTok</x:v>
      </x:c>
      <x:c r="E26" s="22"/>
      <x:c r="F26" s="23"/>
      <x:c r="G26" s="23"/>
      <x:c r="H26" s="23"/>
      <x:c r="I26" s="23"/>
      <x:c r="J26" s="23"/>
      <x:c r="K26" s="23"/>
      <x:c r="L26" s="23"/>
      <x:c r="M26" s="23"/>
      <x:c r="N26" s="23"/>
      <x:c r="O26" s="23"/>
      <x:c r="P26" s="21" t="str">
        <x:f>IF(OR(H26="",H26=0,J26=""),"",J26/H26)</x:f>
      </x:c>
      <x:c r="Q26" s="21" t="str">
        <x:f>IF(OR(H26="",H26=0,K26=""),"",K26/H26)</x:f>
      </x:c>
      <x:c r="R26" s="10"/>
      <x:c r="S26" s="10"/>
    </x:row>
    <x:row r="27" ht="48" customHeight="1">
      <x:c r="A27" s="9" t="n">
        <x:v>10</x:v>
      </x:c>
      <x:c r="B27" s="13" t="n">
        <x:f>'Calendrier'!$B$4+A27-1</x:f>
        <x:v>46302</x:v>
      </x:c>
      <x:c r="C27" s="9" t="str">
        <x:v>V06</x:v>
      </x:c>
      <x:c r="D27" s="9" t="str">
        <x:v>Facebook</x:v>
      </x:c>
      <x:c r="E27" s="22"/>
      <x:c r="F27" s="23"/>
      <x:c r="G27" s="23"/>
      <x:c r="H27" s="23"/>
      <x:c r="I27" s="23"/>
      <x:c r="J27" s="23"/>
      <x:c r="K27" s="23"/>
      <x:c r="L27" s="23"/>
      <x:c r="M27" s="23"/>
      <x:c r="N27" s="23"/>
      <x:c r="O27" s="23"/>
      <x:c r="P27" s="20" t="str">
        <x:f>IF(OR(H27="",H27=0,J27=""),"",J27/H27)</x:f>
      </x:c>
      <x:c r="Q27" s="20" t="str">
        <x:f>IF(OR(H27="",H27=0,K27=""),"",K27/H27)</x:f>
      </x:c>
      <x:c r="R27" s="9"/>
      <x:c r="S27" s="9"/>
    </x:row>
    <x:row r="28" ht="48" customHeight="1">
      <x:c r="A28" s="10" t="n">
        <x:v>11</x:v>
      </x:c>
      <x:c r="B28" s="14" t="n">
        <x:f>'Calendrier'!$B$4+A28-1</x:f>
        <x:v>46303</x:v>
      </x:c>
      <x:c r="C28" s="10" t="str">
        <x:v>C05</x:v>
      </x:c>
      <x:c r="D28" s="10" t="str">
        <x:v>Instagram</x:v>
      </x:c>
      <x:c r="E28" s="22"/>
      <x:c r="F28" s="23"/>
      <x:c r="G28" s="23"/>
      <x:c r="H28" s="23"/>
      <x:c r="I28" s="23"/>
      <x:c r="J28" s="23"/>
      <x:c r="K28" s="23"/>
      <x:c r="L28" s="23"/>
      <x:c r="M28" s="23"/>
      <x:c r="N28" s="23"/>
      <x:c r="O28" s="23"/>
      <x:c r="P28" s="21" t="str">
        <x:f>IF(OR(H28="",H28=0,J28=""),"",J28/H28)</x:f>
      </x:c>
      <x:c r="Q28" s="21" t="str">
        <x:f>IF(OR(H28="",H28=0,K28=""),"",K28/H28)</x:f>
      </x:c>
      <x:c r="R28" s="10"/>
      <x:c r="S28" s="10"/>
    </x:row>
    <x:row r="29" ht="48" customHeight="1">
      <x:c r="A29" s="9" t="n">
        <x:v>11</x:v>
      </x:c>
      <x:c r="B29" s="13" t="n">
        <x:f>'Calendrier'!$B$4+A29-1</x:f>
        <x:v>46303</x:v>
      </x:c>
      <x:c r="C29" s="9" t="str">
        <x:v>C05</x:v>
      </x:c>
      <x:c r="D29" s="9" t="str">
        <x:v>Facebook</x:v>
      </x:c>
      <x:c r="E29" s="22"/>
      <x:c r="F29" s="23"/>
      <x:c r="G29" s="23"/>
      <x:c r="H29" s="23"/>
      <x:c r="I29" s="23"/>
      <x:c r="J29" s="23"/>
      <x:c r="K29" s="23"/>
      <x:c r="L29" s="23"/>
      <x:c r="M29" s="23"/>
      <x:c r="N29" s="23"/>
      <x:c r="O29" s="23"/>
      <x:c r="P29" s="20" t="str">
        <x:f>IF(OR(H29="",H29=0,J29=""),"",J29/H29)</x:f>
      </x:c>
      <x:c r="Q29" s="20" t="str">
        <x:f>IF(OR(H29="",H29=0,K29=""),"",K29/H29)</x:f>
      </x:c>
      <x:c r="R29" s="9"/>
      <x:c r="S29" s="9"/>
    </x:row>
    <x:row r="30" ht="48" customHeight="1">
      <x:c r="A30" s="10" t="n">
        <x:v>12</x:v>
      </x:c>
      <x:c r="B30" s="14" t="n">
        <x:f>'Calendrier'!$B$4+A30-1</x:f>
        <x:v>46304</x:v>
      </x:c>
      <x:c r="C30" s="10" t="str">
        <x:v>V07</x:v>
      </x:c>
      <x:c r="D30" s="10" t="str">
        <x:v>Instagram</x:v>
      </x:c>
      <x:c r="E30" s="22"/>
      <x:c r="F30" s="23"/>
      <x:c r="G30" s="23"/>
      <x:c r="H30" s="23"/>
      <x:c r="I30" s="23"/>
      <x:c r="J30" s="23"/>
      <x:c r="K30" s="23"/>
      <x:c r="L30" s="23"/>
      <x:c r="M30" s="23"/>
      <x:c r="N30" s="23"/>
      <x:c r="O30" s="23"/>
      <x:c r="P30" s="21" t="str">
        <x:f>IF(OR(H30="",H30=0,J30=""),"",J30/H30)</x:f>
      </x:c>
      <x:c r="Q30" s="21" t="str">
        <x:f>IF(OR(H30="",H30=0,K30=""),"",K30/H30)</x:f>
      </x:c>
      <x:c r="R30" s="10"/>
      <x:c r="S30" s="10"/>
    </x:row>
    <x:row r="31" ht="48" customHeight="1">
      <x:c r="A31" s="9" t="n">
        <x:v>12</x:v>
      </x:c>
      <x:c r="B31" s="13" t="n">
        <x:f>'Calendrier'!$B$4+A31-1</x:f>
        <x:v>46304</x:v>
      </x:c>
      <x:c r="C31" s="9" t="str">
        <x:v>V07</x:v>
      </x:c>
      <x:c r="D31" s="9" t="str">
        <x:v>TikTok</x:v>
      </x:c>
      <x:c r="E31" s="22"/>
      <x:c r="F31" s="23"/>
      <x:c r="G31" s="23"/>
      <x:c r="H31" s="23"/>
      <x:c r="I31" s="23"/>
      <x:c r="J31" s="23"/>
      <x:c r="K31" s="23"/>
      <x:c r="L31" s="23"/>
      <x:c r="M31" s="23"/>
      <x:c r="N31" s="23"/>
      <x:c r="O31" s="23"/>
      <x:c r="P31" s="20" t="str">
        <x:f>IF(OR(H31="",H31=0,J31=""),"",J31/H31)</x:f>
      </x:c>
      <x:c r="Q31" s="20" t="str">
        <x:f>IF(OR(H31="",H31=0,K31=""),"",K31/H31)</x:f>
      </x:c>
      <x:c r="R31" s="9"/>
      <x:c r="S31" s="9"/>
    </x:row>
    <x:row r="32" ht="48" customHeight="1">
      <x:c r="A32" s="10" t="n">
        <x:v>13</x:v>
      </x:c>
      <x:c r="B32" s="14" t="n">
        <x:f>'Calendrier'!$B$4+A32-1</x:f>
        <x:v>46305</x:v>
      </x:c>
      <x:c r="C32" s="10" t="str">
        <x:v>C06</x:v>
      </x:c>
      <x:c r="D32" s="10" t="str">
        <x:v>Instagram</x:v>
      </x:c>
      <x:c r="E32" s="22"/>
      <x:c r="F32" s="23"/>
      <x:c r="G32" s="23"/>
      <x:c r="H32" s="23"/>
      <x:c r="I32" s="23"/>
      <x:c r="J32" s="23"/>
      <x:c r="K32" s="23"/>
      <x:c r="L32" s="23"/>
      <x:c r="M32" s="23"/>
      <x:c r="N32" s="23"/>
      <x:c r="O32" s="23"/>
      <x:c r="P32" s="21" t="str">
        <x:f>IF(OR(H32="",H32=0,J32=""),"",J32/H32)</x:f>
      </x:c>
      <x:c r="Q32" s="21" t="str">
        <x:f>IF(OR(H32="",H32=0,K32=""),"",K32/H32)</x:f>
      </x:c>
      <x:c r="R32" s="10"/>
      <x:c r="S32" s="10"/>
    </x:row>
    <x:row r="33" ht="48" customHeight="1">
      <x:c r="A33" s="9" t="n">
        <x:v>13</x:v>
      </x:c>
      <x:c r="B33" s="13" t="n">
        <x:f>'Calendrier'!$B$4+A33-1</x:f>
        <x:v>46305</x:v>
      </x:c>
      <x:c r="C33" s="9" t="str">
        <x:v>C06</x:v>
      </x:c>
      <x:c r="D33" s="9" t="str">
        <x:v>Facebook</x:v>
      </x:c>
      <x:c r="E33" s="22"/>
      <x:c r="F33" s="23"/>
      <x:c r="G33" s="23"/>
      <x:c r="H33" s="23"/>
      <x:c r="I33" s="23"/>
      <x:c r="J33" s="23"/>
      <x:c r="K33" s="23"/>
      <x:c r="L33" s="23"/>
      <x:c r="M33" s="23"/>
      <x:c r="N33" s="23"/>
      <x:c r="O33" s="23"/>
      <x:c r="P33" s="20" t="str">
        <x:f>IF(OR(H33="",H33=0,J33=""),"",J33/H33)</x:f>
      </x:c>
      <x:c r="Q33" s="20" t="str">
        <x:f>IF(OR(H33="",H33=0,K33=""),"",K33/H33)</x:f>
      </x:c>
      <x:c r="R33" s="9"/>
      <x:c r="S33" s="9"/>
    </x:row>
    <x:row r="34" ht="48" customHeight="1">
      <x:c r="A34" s="10" t="n">
        <x:v>14</x:v>
      </x:c>
      <x:c r="B34" s="14" t="n">
        <x:f>'Calendrier'!$B$4+A34-1</x:f>
        <x:v>46306</x:v>
      </x:c>
      <x:c r="C34" s="10" t="str">
        <x:v>V08</x:v>
      </x:c>
      <x:c r="D34" s="10" t="str">
        <x:v>Instagram</x:v>
      </x:c>
      <x:c r="E34" s="22"/>
      <x:c r="F34" s="23"/>
      <x:c r="G34" s="23"/>
      <x:c r="H34" s="23"/>
      <x:c r="I34" s="23"/>
      <x:c r="J34" s="23"/>
      <x:c r="K34" s="23"/>
      <x:c r="L34" s="23"/>
      <x:c r="M34" s="23"/>
      <x:c r="N34" s="23"/>
      <x:c r="O34" s="23"/>
      <x:c r="P34" s="21" t="str">
        <x:f>IF(OR(H34="",H34=0,J34=""),"",J34/H34)</x:f>
      </x:c>
      <x:c r="Q34" s="21" t="str">
        <x:f>IF(OR(H34="",H34=0,K34=""),"",K34/H34)</x:f>
      </x:c>
      <x:c r="R34" s="10"/>
      <x:c r="S34" s="10"/>
    </x:row>
    <x:row r="35" ht="48" customHeight="1">
      <x:c r="A35" s="9" t="n">
        <x:v>14</x:v>
      </x:c>
      <x:c r="B35" s="13" t="n">
        <x:f>'Calendrier'!$B$4+A35-1</x:f>
        <x:v>46306</x:v>
      </x:c>
      <x:c r="C35" s="9" t="str">
        <x:v>V08</x:v>
      </x:c>
      <x:c r="D35" s="9" t="str">
        <x:v>TikTok</x:v>
      </x:c>
      <x:c r="E35" s="22"/>
      <x:c r="F35" s="23"/>
      <x:c r="G35" s="23"/>
      <x:c r="H35" s="23"/>
      <x:c r="I35" s="23"/>
      <x:c r="J35" s="23"/>
      <x:c r="K35" s="23"/>
      <x:c r="L35" s="23"/>
      <x:c r="M35" s="23"/>
      <x:c r="N35" s="23"/>
      <x:c r="O35" s="23"/>
      <x:c r="P35" s="20" t="str">
        <x:f>IF(OR(H35="",H35=0,J35=""),"",J35/H35)</x:f>
      </x:c>
      <x:c r="Q35" s="20" t="str">
        <x:f>IF(OR(H35="",H35=0,K35=""),"",K35/H35)</x:f>
      </x:c>
      <x:c r="R35" s="9"/>
      <x:c r="S35" s="9"/>
    </x:row>
    <x:row r="36" ht="48" customHeight="1">
      <x:c r="A36" s="10" t="n">
        <x:v>14</x:v>
      </x:c>
      <x:c r="B36" s="14" t="n">
        <x:f>'Calendrier'!$B$4+A36-1</x:f>
        <x:v>46306</x:v>
      </x:c>
      <x:c r="C36" s="10" t="str">
        <x:v>V08</x:v>
      </x:c>
      <x:c r="D36" s="10" t="str">
        <x:v>Facebook</x:v>
      </x:c>
      <x:c r="E36" s="22"/>
      <x:c r="F36" s="23"/>
      <x:c r="G36" s="23"/>
      <x:c r="H36" s="23"/>
      <x:c r="I36" s="23"/>
      <x:c r="J36" s="23"/>
      <x:c r="K36" s="23"/>
      <x:c r="L36" s="23"/>
      <x:c r="M36" s="23"/>
      <x:c r="N36" s="23"/>
      <x:c r="O36" s="23"/>
      <x:c r="P36" s="21" t="str">
        <x:f>IF(OR(H36="",H36=0,J36=""),"",J36/H36)</x:f>
      </x:c>
      <x:c r="Q36" s="21" t="str">
        <x:f>IF(OR(H36="",H36=0,K36=""),"",K36/H36)</x:f>
      </x:c>
      <x:c r="R36" s="10"/>
      <x:c r="S36" s="10"/>
    </x:row>
    <x:row r="37" ht="48" customHeight="1">
      <x:c r="A37" s="9" t="n">
        <x:v>1</x:v>
      </x:c>
      <x:c r="B37" s="13" t="n">
        <x:f>'Calendrier'!$B$4+A37-1</x:f>
        <x:v>46293</x:v>
      </x:c>
      <x:c r="C37" s="9" t="str">
        <x:v>ST01</x:v>
      </x:c>
      <x:c r="D37" s="9" t="str">
        <x:v>Instagram</x:v>
      </x:c>
      <x:c r="E37" s="22"/>
      <x:c r="F37" s="23"/>
      <x:c r="G37" s="23"/>
      <x:c r="H37" s="23"/>
      <x:c r="I37" s="23"/>
      <x:c r="J37" s="23"/>
      <x:c r="K37" s="23"/>
      <x:c r="L37" s="23"/>
      <x:c r="M37" s="23"/>
      <x:c r="N37" s="23"/>
      <x:c r="O37" s="23"/>
      <x:c r="P37" s="20" t="str">
        <x:f>IF(OR(H37="",H37=0,J37=""),"",J37/H37)</x:f>
      </x:c>
      <x:c r="Q37" s="20" t="str">
        <x:f>IF(OR(H37="",H37=0,K37=""),"",K37/H37)</x:f>
      </x:c>
      <x:c r="R37" s="9"/>
      <x:c r="S37" s="9"/>
    </x:row>
    <x:row r="38" ht="48" customHeight="1">
      <x:c r="A38" s="10" t="n">
        <x:v>1</x:v>
      </x:c>
      <x:c r="B38" s="14" t="n">
        <x:f>'Calendrier'!$B$4+A38-1</x:f>
        <x:v>46293</x:v>
      </x:c>
      <x:c r="C38" s="10" t="str">
        <x:v>ST01</x:v>
      </x:c>
      <x:c r="D38" s="10" t="str">
        <x:v>Facebook</x:v>
      </x:c>
      <x:c r="E38" s="22"/>
      <x:c r="F38" s="23"/>
      <x:c r="G38" s="23"/>
      <x:c r="H38" s="23"/>
      <x:c r="I38" s="23"/>
      <x:c r="J38" s="23"/>
      <x:c r="K38" s="23"/>
      <x:c r="L38" s="23"/>
      <x:c r="M38" s="23"/>
      <x:c r="N38" s="23"/>
      <x:c r="O38" s="23"/>
      <x:c r="P38" s="21" t="str">
        <x:f>IF(OR(H38="",H38=0,J38=""),"",J38/H38)</x:f>
      </x:c>
      <x:c r="Q38" s="21" t="str">
        <x:f>IF(OR(H38="",H38=0,K38=""),"",K38/H38)</x:f>
      </x:c>
      <x:c r="R38" s="10"/>
      <x:c r="S38" s="10"/>
    </x:row>
    <x:row r="39" ht="48" customHeight="1">
      <x:c r="A39" s="9" t="n">
        <x:v>1</x:v>
      </x:c>
      <x:c r="B39" s="13" t="n">
        <x:f>'Calendrier'!$B$4+A39-1</x:f>
        <x:v>46293</x:v>
      </x:c>
      <x:c r="C39" s="9" t="str">
        <x:v>ST02</x:v>
      </x:c>
      <x:c r="D39" s="9" t="str">
        <x:v>Instagram</x:v>
      </x:c>
      <x:c r="E39" s="22"/>
      <x:c r="F39" s="23"/>
      <x:c r="G39" s="23"/>
      <x:c r="H39" s="23"/>
      <x:c r="I39" s="23"/>
      <x:c r="J39" s="23"/>
      <x:c r="K39" s="23"/>
      <x:c r="L39" s="23"/>
      <x:c r="M39" s="23"/>
      <x:c r="N39" s="23"/>
      <x:c r="O39" s="23"/>
      <x:c r="P39" s="20" t="str">
        <x:f>IF(OR(H39="",H39=0,J39=""),"",J39/H39)</x:f>
      </x:c>
      <x:c r="Q39" s="20" t="str">
        <x:f>IF(OR(H39="",H39=0,K39=""),"",K39/H39)</x:f>
      </x:c>
      <x:c r="R39" s="9"/>
      <x:c r="S39" s="9"/>
    </x:row>
    <x:row r="40" ht="48" customHeight="1">
      <x:c r="A40" s="10" t="n">
        <x:v>1</x:v>
      </x:c>
      <x:c r="B40" s="14" t="n">
        <x:f>'Calendrier'!$B$4+A40-1</x:f>
        <x:v>46293</x:v>
      </x:c>
      <x:c r="C40" s="10" t="str">
        <x:v>ST02</x:v>
      </x:c>
      <x:c r="D40" s="10" t="str">
        <x:v>Facebook</x:v>
      </x:c>
      <x:c r="E40" s="22"/>
      <x:c r="F40" s="23"/>
      <x:c r="G40" s="23"/>
      <x:c r="H40" s="23"/>
      <x:c r="I40" s="23"/>
      <x:c r="J40" s="23"/>
      <x:c r="K40" s="23"/>
      <x:c r="L40" s="23"/>
      <x:c r="M40" s="23"/>
      <x:c r="N40" s="23"/>
      <x:c r="O40" s="23"/>
      <x:c r="P40" s="21" t="str">
        <x:f>IF(OR(H40="",H40=0,J40=""),"",J40/H40)</x:f>
      </x:c>
      <x:c r="Q40" s="21" t="str">
        <x:f>IF(OR(H40="",H40=0,K40=""),"",K40/H40)</x:f>
      </x:c>
      <x:c r="R40" s="10"/>
      <x:c r="S40" s="10"/>
    </x:row>
    <x:row r="41" ht="48" customHeight="1">
      <x:c r="A41" s="9" t="n">
        <x:v>2</x:v>
      </x:c>
      <x:c r="B41" s="13" t="n">
        <x:f>'Calendrier'!$B$4+A41-1</x:f>
        <x:v>46294</x:v>
      </x:c>
      <x:c r="C41" s="9" t="str">
        <x:v>ST03</x:v>
      </x:c>
      <x:c r="D41" s="9" t="str">
        <x:v>Instagram</x:v>
      </x:c>
      <x:c r="E41" s="22"/>
      <x:c r="F41" s="23"/>
      <x:c r="G41" s="23"/>
      <x:c r="H41" s="23"/>
      <x:c r="I41" s="23"/>
      <x:c r="J41" s="23"/>
      <x:c r="K41" s="23"/>
      <x:c r="L41" s="23"/>
      <x:c r="M41" s="23"/>
      <x:c r="N41" s="23"/>
      <x:c r="O41" s="23"/>
      <x:c r="P41" s="20" t="str">
        <x:f>IF(OR(H41="",H41=0,J41=""),"",J41/H41)</x:f>
      </x:c>
      <x:c r="Q41" s="20" t="str">
        <x:f>IF(OR(H41="",H41=0,K41=""),"",K41/H41)</x:f>
      </x:c>
      <x:c r="R41" s="9"/>
      <x:c r="S41" s="9"/>
    </x:row>
    <x:row r="42" ht="48" customHeight="1">
      <x:c r="A42" s="10" t="n">
        <x:v>2</x:v>
      </x:c>
      <x:c r="B42" s="14" t="n">
        <x:f>'Calendrier'!$B$4+A42-1</x:f>
        <x:v>46294</x:v>
      </x:c>
      <x:c r="C42" s="10" t="str">
        <x:v>ST03</x:v>
      </x:c>
      <x:c r="D42" s="10" t="str">
        <x:v>Facebook</x:v>
      </x:c>
      <x:c r="E42" s="22"/>
      <x:c r="F42" s="23"/>
      <x:c r="G42" s="23"/>
      <x:c r="H42" s="23"/>
      <x:c r="I42" s="23"/>
      <x:c r="J42" s="23"/>
      <x:c r="K42" s="23"/>
      <x:c r="L42" s="23"/>
      <x:c r="M42" s="23"/>
      <x:c r="N42" s="23"/>
      <x:c r="O42" s="23"/>
      <x:c r="P42" s="21" t="str">
        <x:f>IF(OR(H42="",H42=0,J42=""),"",J42/H42)</x:f>
      </x:c>
      <x:c r="Q42" s="21" t="str">
        <x:f>IF(OR(H42="",H42=0,K42=""),"",K42/H42)</x:f>
      </x:c>
      <x:c r="R42" s="10"/>
      <x:c r="S42" s="10"/>
    </x:row>
    <x:row r="43" ht="48" customHeight="1">
      <x:c r="A43" s="9" t="n">
        <x:v>3</x:v>
      </x:c>
      <x:c r="B43" s="13" t="n">
        <x:f>'Calendrier'!$B$4+A43-1</x:f>
        <x:v>46295</x:v>
      </x:c>
      <x:c r="C43" s="9" t="str">
        <x:v>ST04</x:v>
      </x:c>
      <x:c r="D43" s="9" t="str">
        <x:v>Instagram</x:v>
      </x:c>
      <x:c r="E43" s="22"/>
      <x:c r="F43" s="23"/>
      <x:c r="G43" s="23"/>
      <x:c r="H43" s="23"/>
      <x:c r="I43" s="23"/>
      <x:c r="J43" s="23"/>
      <x:c r="K43" s="23"/>
      <x:c r="L43" s="23"/>
      <x:c r="M43" s="23"/>
      <x:c r="N43" s="23"/>
      <x:c r="O43" s="23"/>
      <x:c r="P43" s="20" t="str">
        <x:f>IF(OR(H43="",H43=0,J43=""),"",J43/H43)</x:f>
      </x:c>
      <x:c r="Q43" s="20" t="str">
        <x:f>IF(OR(H43="",H43=0,K43=""),"",K43/H43)</x:f>
      </x:c>
      <x:c r="R43" s="9"/>
      <x:c r="S43" s="9"/>
    </x:row>
    <x:row r="44" ht="48" customHeight="1">
      <x:c r="A44" s="10" t="n">
        <x:v>3</x:v>
      </x:c>
      <x:c r="B44" s="14" t="n">
        <x:f>'Calendrier'!$B$4+A44-1</x:f>
        <x:v>46295</x:v>
      </x:c>
      <x:c r="C44" s="10" t="str">
        <x:v>ST04</x:v>
      </x:c>
      <x:c r="D44" s="10" t="str">
        <x:v>Facebook</x:v>
      </x:c>
      <x:c r="E44" s="22"/>
      <x:c r="F44" s="23"/>
      <x:c r="G44" s="23"/>
      <x:c r="H44" s="23"/>
      <x:c r="I44" s="23"/>
      <x:c r="J44" s="23"/>
      <x:c r="K44" s="23"/>
      <x:c r="L44" s="23"/>
      <x:c r="M44" s="23"/>
      <x:c r="N44" s="23"/>
      <x:c r="O44" s="23"/>
      <x:c r="P44" s="21" t="str">
        <x:f>IF(OR(H44="",H44=0,J44=""),"",J44/H44)</x:f>
      </x:c>
      <x:c r="Q44" s="21" t="str">
        <x:f>IF(OR(H44="",H44=0,K44=""),"",K44/H44)</x:f>
      </x:c>
      <x:c r="R44" s="10"/>
      <x:c r="S44" s="10"/>
    </x:row>
    <x:row r="45" ht="48" customHeight="1">
      <x:c r="A45" s="9" t="n">
        <x:v>4</x:v>
      </x:c>
      <x:c r="B45" s="13" t="n">
        <x:f>'Calendrier'!$B$4+A45-1</x:f>
        <x:v>46296</x:v>
      </x:c>
      <x:c r="C45" s="9" t="str">
        <x:v>ST05</x:v>
      </x:c>
      <x:c r="D45" s="9" t="str">
        <x:v>Instagram</x:v>
      </x:c>
      <x:c r="E45" s="22"/>
      <x:c r="F45" s="23"/>
      <x:c r="G45" s="23"/>
      <x:c r="H45" s="23"/>
      <x:c r="I45" s="23"/>
      <x:c r="J45" s="23"/>
      <x:c r="K45" s="23"/>
      <x:c r="L45" s="23"/>
      <x:c r="M45" s="23"/>
      <x:c r="N45" s="23"/>
      <x:c r="O45" s="23"/>
      <x:c r="P45" s="20" t="str">
        <x:f>IF(OR(H45="",H45=0,J45=""),"",J45/H45)</x:f>
      </x:c>
      <x:c r="Q45" s="20" t="str">
        <x:f>IF(OR(H45="",H45=0,K45=""),"",K45/H45)</x:f>
      </x:c>
      <x:c r="R45" s="9"/>
      <x:c r="S45" s="9"/>
    </x:row>
    <x:row r="46" ht="48" customHeight="1">
      <x:c r="A46" s="10" t="n">
        <x:v>4</x:v>
      </x:c>
      <x:c r="B46" s="14" t="n">
        <x:f>'Calendrier'!$B$4+A46-1</x:f>
        <x:v>46296</x:v>
      </x:c>
      <x:c r="C46" s="10" t="str">
        <x:v>ST05</x:v>
      </x:c>
      <x:c r="D46" s="10" t="str">
        <x:v>Facebook</x:v>
      </x:c>
      <x:c r="E46" s="22"/>
      <x:c r="F46" s="23"/>
      <x:c r="G46" s="23"/>
      <x:c r="H46" s="23"/>
      <x:c r="I46" s="23"/>
      <x:c r="J46" s="23"/>
      <x:c r="K46" s="23"/>
      <x:c r="L46" s="23"/>
      <x:c r="M46" s="23"/>
      <x:c r="N46" s="23"/>
      <x:c r="O46" s="23"/>
      <x:c r="P46" s="21" t="str">
        <x:f>IF(OR(H46="",H46=0,J46=""),"",J46/H46)</x:f>
      </x:c>
      <x:c r="Q46" s="21" t="str">
        <x:f>IF(OR(H46="",H46=0,K46=""),"",K46/H46)</x:f>
      </x:c>
      <x:c r="R46" s="10"/>
      <x:c r="S46" s="10"/>
    </x:row>
    <x:row r="47" ht="48" customHeight="1">
      <x:c r="A47" s="9" t="n">
        <x:v>5</x:v>
      </x:c>
      <x:c r="B47" s="13" t="n">
        <x:f>'Calendrier'!$B$4+A47-1</x:f>
        <x:v>46297</x:v>
      </x:c>
      <x:c r="C47" s="9" t="str">
        <x:v>ST06</x:v>
      </x:c>
      <x:c r="D47" s="9" t="str">
        <x:v>Instagram</x:v>
      </x:c>
      <x:c r="E47" s="22"/>
      <x:c r="F47" s="23"/>
      <x:c r="G47" s="23"/>
      <x:c r="H47" s="23"/>
      <x:c r="I47" s="23"/>
      <x:c r="J47" s="23"/>
      <x:c r="K47" s="23"/>
      <x:c r="L47" s="23"/>
      <x:c r="M47" s="23"/>
      <x:c r="N47" s="23"/>
      <x:c r="O47" s="23"/>
      <x:c r="P47" s="20" t="str">
        <x:f>IF(OR(H47="",H47=0,J47=""),"",J47/H47)</x:f>
      </x:c>
      <x:c r="Q47" s="20" t="str">
        <x:f>IF(OR(H47="",H47=0,K47=""),"",K47/H47)</x:f>
      </x:c>
      <x:c r="R47" s="9"/>
      <x:c r="S47" s="9"/>
    </x:row>
    <x:row r="48" ht="48" customHeight="1">
      <x:c r="A48" s="10" t="n">
        <x:v>5</x:v>
      </x:c>
      <x:c r="B48" s="14" t="n">
        <x:f>'Calendrier'!$B$4+A48-1</x:f>
        <x:v>46297</x:v>
      </x:c>
      <x:c r="C48" s="10" t="str">
        <x:v>ST06</x:v>
      </x:c>
      <x:c r="D48" s="10" t="str">
        <x:v>Facebook</x:v>
      </x:c>
      <x:c r="E48" s="22"/>
      <x:c r="F48" s="23"/>
      <x:c r="G48" s="23"/>
      <x:c r="H48" s="23"/>
      <x:c r="I48" s="23"/>
      <x:c r="J48" s="23"/>
      <x:c r="K48" s="23"/>
      <x:c r="L48" s="23"/>
      <x:c r="M48" s="23"/>
      <x:c r="N48" s="23"/>
      <x:c r="O48" s="23"/>
      <x:c r="P48" s="21" t="str">
        <x:f>IF(OR(H48="",H48=0,J48=""),"",J48/H48)</x:f>
      </x:c>
      <x:c r="Q48" s="21" t="str">
        <x:f>IF(OR(H48="",H48=0,K48=""),"",K48/H48)</x:f>
      </x:c>
      <x:c r="R48" s="10"/>
      <x:c r="S48" s="10"/>
    </x:row>
    <x:row r="49" ht="48" customHeight="1">
      <x:c r="A49" s="9" t="n">
        <x:v>6</x:v>
      </x:c>
      <x:c r="B49" s="13" t="n">
        <x:f>'Calendrier'!$B$4+A49-1</x:f>
        <x:v>46298</x:v>
      </x:c>
      <x:c r="C49" s="9" t="str">
        <x:v>ST07</x:v>
      </x:c>
      <x:c r="D49" s="9" t="str">
        <x:v>Instagram</x:v>
      </x:c>
      <x:c r="E49" s="22"/>
      <x:c r="F49" s="23"/>
      <x:c r="G49" s="23"/>
      <x:c r="H49" s="23"/>
      <x:c r="I49" s="23"/>
      <x:c r="J49" s="23"/>
      <x:c r="K49" s="23"/>
      <x:c r="L49" s="23"/>
      <x:c r="M49" s="23"/>
      <x:c r="N49" s="23"/>
      <x:c r="O49" s="23"/>
      <x:c r="P49" s="20" t="str">
        <x:f>IF(OR(H49="",H49=0,J49=""),"",J49/H49)</x:f>
      </x:c>
      <x:c r="Q49" s="20" t="str">
        <x:f>IF(OR(H49="",H49=0,K49=""),"",K49/H49)</x:f>
      </x:c>
      <x:c r="R49" s="9"/>
      <x:c r="S49" s="9"/>
    </x:row>
    <x:row r="50" ht="48" customHeight="1">
      <x:c r="A50" s="10" t="n">
        <x:v>6</x:v>
      </x:c>
      <x:c r="B50" s="14" t="n">
        <x:f>'Calendrier'!$B$4+A50-1</x:f>
        <x:v>46298</x:v>
      </x:c>
      <x:c r="C50" s="10" t="str">
        <x:v>ST07</x:v>
      </x:c>
      <x:c r="D50" s="10" t="str">
        <x:v>Facebook</x:v>
      </x:c>
      <x:c r="E50" s="22"/>
      <x:c r="F50" s="23"/>
      <x:c r="G50" s="23"/>
      <x:c r="H50" s="23"/>
      <x:c r="I50" s="23"/>
      <x:c r="J50" s="23"/>
      <x:c r="K50" s="23"/>
      <x:c r="L50" s="23"/>
      <x:c r="M50" s="23"/>
      <x:c r="N50" s="23"/>
      <x:c r="O50" s="23"/>
      <x:c r="P50" s="21" t="str">
        <x:f>IF(OR(H50="",H50=0,J50=""),"",J50/H50)</x:f>
      </x:c>
      <x:c r="Q50" s="21" t="str">
        <x:f>IF(OR(H50="",H50=0,K50=""),"",K50/H50)</x:f>
      </x:c>
      <x:c r="R50" s="10"/>
      <x:c r="S50" s="10"/>
    </x:row>
    <x:row r="51" ht="48" customHeight="1">
      <x:c r="A51" s="9" t="n">
        <x:v>7</x:v>
      </x:c>
      <x:c r="B51" s="13" t="n">
        <x:f>'Calendrier'!$B$4+A51-1</x:f>
        <x:v>46299</x:v>
      </x:c>
      <x:c r="C51" s="9" t="str">
        <x:v>ST08</x:v>
      </x:c>
      <x:c r="D51" s="9" t="str">
        <x:v>Instagram</x:v>
      </x:c>
      <x:c r="E51" s="22"/>
      <x:c r="F51" s="23"/>
      <x:c r="G51" s="23"/>
      <x:c r="H51" s="23"/>
      <x:c r="I51" s="23"/>
      <x:c r="J51" s="23"/>
      <x:c r="K51" s="23"/>
      <x:c r="L51" s="23"/>
      <x:c r="M51" s="23"/>
      <x:c r="N51" s="23"/>
      <x:c r="O51" s="23"/>
      <x:c r="P51" s="20" t="str">
        <x:f>IF(OR(H51="",H51=0,J51=""),"",J51/H51)</x:f>
      </x:c>
      <x:c r="Q51" s="20" t="str">
        <x:f>IF(OR(H51="",H51=0,K51=""),"",K51/H51)</x:f>
      </x:c>
      <x:c r="R51" s="9"/>
      <x:c r="S51" s="9"/>
    </x:row>
    <x:row r="52" ht="48" customHeight="1">
      <x:c r="A52" s="10" t="n">
        <x:v>7</x:v>
      </x:c>
      <x:c r="B52" s="14" t="n">
        <x:f>'Calendrier'!$B$4+A52-1</x:f>
        <x:v>46299</x:v>
      </x:c>
      <x:c r="C52" s="10" t="str">
        <x:v>ST08</x:v>
      </x:c>
      <x:c r="D52" s="10" t="str">
        <x:v>Facebook</x:v>
      </x:c>
      <x:c r="E52" s="22"/>
      <x:c r="F52" s="23"/>
      <x:c r="G52" s="23"/>
      <x:c r="H52" s="23"/>
      <x:c r="I52" s="23"/>
      <x:c r="J52" s="23"/>
      <x:c r="K52" s="23"/>
      <x:c r="L52" s="23"/>
      <x:c r="M52" s="23"/>
      <x:c r="N52" s="23"/>
      <x:c r="O52" s="23"/>
      <x:c r="P52" s="21" t="str">
        <x:f>IF(OR(H52="",H52=0,J52=""),"",J52/H52)</x:f>
      </x:c>
      <x:c r="Q52" s="21" t="str">
        <x:f>IF(OR(H52="",H52=0,K52=""),"",K52/H52)</x:f>
      </x:c>
      <x:c r="R52" s="10"/>
      <x:c r="S52" s="10"/>
    </x:row>
    <x:row r="53" ht="48" customHeight="1">
      <x:c r="A53" s="9" t="n">
        <x:v>8</x:v>
      </x:c>
      <x:c r="B53" s="13" t="n">
        <x:f>'Calendrier'!$B$4+A53-1</x:f>
        <x:v>46300</x:v>
      </x:c>
      <x:c r="C53" s="9" t="str">
        <x:v>ST09</x:v>
      </x:c>
      <x:c r="D53" s="9" t="str">
        <x:v>Instagram</x:v>
      </x:c>
      <x:c r="E53" s="22"/>
      <x:c r="F53" s="23"/>
      <x:c r="G53" s="23"/>
      <x:c r="H53" s="23"/>
      <x:c r="I53" s="23"/>
      <x:c r="J53" s="23"/>
      <x:c r="K53" s="23"/>
      <x:c r="L53" s="23"/>
      <x:c r="M53" s="23"/>
      <x:c r="N53" s="23"/>
      <x:c r="O53" s="23"/>
      <x:c r="P53" s="20" t="str">
        <x:f>IF(OR(H53="",H53=0,J53=""),"",J53/H53)</x:f>
      </x:c>
      <x:c r="Q53" s="20" t="str">
        <x:f>IF(OR(H53="",H53=0,K53=""),"",K53/H53)</x:f>
      </x:c>
      <x:c r="R53" s="9"/>
      <x:c r="S53" s="9"/>
    </x:row>
    <x:row r="54" ht="48" customHeight="1">
      <x:c r="A54" s="10" t="n">
        <x:v>8</x:v>
      </x:c>
      <x:c r="B54" s="14" t="n">
        <x:f>'Calendrier'!$B$4+A54-1</x:f>
        <x:v>46300</x:v>
      </x:c>
      <x:c r="C54" s="10" t="str">
        <x:v>ST09</x:v>
      </x:c>
      <x:c r="D54" s="10" t="str">
        <x:v>Facebook</x:v>
      </x:c>
      <x:c r="E54" s="22"/>
      <x:c r="F54" s="23"/>
      <x:c r="G54" s="23"/>
      <x:c r="H54" s="23"/>
      <x:c r="I54" s="23"/>
      <x:c r="J54" s="23"/>
      <x:c r="K54" s="23"/>
      <x:c r="L54" s="23"/>
      <x:c r="M54" s="23"/>
      <x:c r="N54" s="23"/>
      <x:c r="O54" s="23"/>
      <x:c r="P54" s="21" t="str">
        <x:f>IF(OR(H54="",H54=0,J54=""),"",J54/H54)</x:f>
      </x:c>
      <x:c r="Q54" s="21" t="str">
        <x:f>IF(OR(H54="",H54=0,K54=""),"",K54/H54)</x:f>
      </x:c>
      <x:c r="R54" s="10"/>
      <x:c r="S54" s="10"/>
    </x:row>
    <x:row r="55" ht="48" customHeight="1">
      <x:c r="A55" s="9" t="n">
        <x:v>8</x:v>
      </x:c>
      <x:c r="B55" s="13" t="n">
        <x:f>'Calendrier'!$B$4+A55-1</x:f>
        <x:v>46300</x:v>
      </x:c>
      <x:c r="C55" s="9" t="str">
        <x:v>ST10</x:v>
      </x:c>
      <x:c r="D55" s="9" t="str">
        <x:v>Instagram</x:v>
      </x:c>
      <x:c r="E55" s="22"/>
      <x:c r="F55" s="23"/>
      <x:c r="G55" s="23"/>
      <x:c r="H55" s="23"/>
      <x:c r="I55" s="23"/>
      <x:c r="J55" s="23"/>
      <x:c r="K55" s="23"/>
      <x:c r="L55" s="23"/>
      <x:c r="M55" s="23"/>
      <x:c r="N55" s="23"/>
      <x:c r="O55" s="23"/>
      <x:c r="P55" s="20" t="str">
        <x:f>IF(OR(H55="",H55=0,J55=""),"",J55/H55)</x:f>
      </x:c>
      <x:c r="Q55" s="20" t="str">
        <x:f>IF(OR(H55="",H55=0,K55=""),"",K55/H55)</x:f>
      </x:c>
      <x:c r="R55" s="9"/>
      <x:c r="S55" s="9"/>
    </x:row>
    <x:row r="56" ht="48" customHeight="1">
      <x:c r="A56" s="10" t="n">
        <x:v>8</x:v>
      </x:c>
      <x:c r="B56" s="14" t="n">
        <x:f>'Calendrier'!$B$4+A56-1</x:f>
        <x:v>46300</x:v>
      </x:c>
      <x:c r="C56" s="10" t="str">
        <x:v>ST10</x:v>
      </x:c>
      <x:c r="D56" s="10" t="str">
        <x:v>Facebook</x:v>
      </x:c>
      <x:c r="E56" s="22"/>
      <x:c r="F56" s="23"/>
      <x:c r="G56" s="23"/>
      <x:c r="H56" s="23"/>
      <x:c r="I56" s="23"/>
      <x:c r="J56" s="23"/>
      <x:c r="K56" s="23"/>
      <x:c r="L56" s="23"/>
      <x:c r="M56" s="23"/>
      <x:c r="N56" s="23"/>
      <x:c r="O56" s="23"/>
      <x:c r="P56" s="21" t="str">
        <x:f>IF(OR(H56="",H56=0,J56=""),"",J56/H56)</x:f>
      </x:c>
      <x:c r="Q56" s="21" t="str">
        <x:f>IF(OR(H56="",H56=0,K56=""),"",K56/H56)</x:f>
      </x:c>
      <x:c r="R56" s="10"/>
      <x:c r="S56" s="10"/>
    </x:row>
    <x:row r="57" ht="48" customHeight="1">
      <x:c r="A57" s="9" t="n">
        <x:v>9</x:v>
      </x:c>
      <x:c r="B57" s="13" t="n">
        <x:f>'Calendrier'!$B$4+A57-1</x:f>
        <x:v>46301</x:v>
      </x:c>
      <x:c r="C57" s="9" t="str">
        <x:v>ST11</x:v>
      </x:c>
      <x:c r="D57" s="9" t="str">
        <x:v>Instagram</x:v>
      </x:c>
      <x:c r="E57" s="22"/>
      <x:c r="F57" s="23"/>
      <x:c r="G57" s="23"/>
      <x:c r="H57" s="23"/>
      <x:c r="I57" s="23"/>
      <x:c r="J57" s="23"/>
      <x:c r="K57" s="23"/>
      <x:c r="L57" s="23"/>
      <x:c r="M57" s="23"/>
      <x:c r="N57" s="23"/>
      <x:c r="O57" s="23"/>
      <x:c r="P57" s="20" t="str">
        <x:f>IF(OR(H57="",H57=0,J57=""),"",J57/H57)</x:f>
      </x:c>
      <x:c r="Q57" s="20" t="str">
        <x:f>IF(OR(H57="",H57=0,K57=""),"",K57/H57)</x:f>
      </x:c>
      <x:c r="R57" s="9"/>
      <x:c r="S57" s="9"/>
    </x:row>
    <x:row r="58" ht="48" customHeight="1">
      <x:c r="A58" s="10" t="n">
        <x:v>9</x:v>
      </x:c>
      <x:c r="B58" s="14" t="n">
        <x:f>'Calendrier'!$B$4+A58-1</x:f>
        <x:v>46301</x:v>
      </x:c>
      <x:c r="C58" s="10" t="str">
        <x:v>ST11</x:v>
      </x:c>
      <x:c r="D58" s="10" t="str">
        <x:v>Facebook</x:v>
      </x:c>
      <x:c r="E58" s="22"/>
      <x:c r="F58" s="23"/>
      <x:c r="G58" s="23"/>
      <x:c r="H58" s="23"/>
      <x:c r="I58" s="23"/>
      <x:c r="J58" s="23"/>
      <x:c r="K58" s="23"/>
      <x:c r="L58" s="23"/>
      <x:c r="M58" s="23"/>
      <x:c r="N58" s="23"/>
      <x:c r="O58" s="23"/>
      <x:c r="P58" s="21" t="str">
        <x:f>IF(OR(H58="",H58=0,J58=""),"",J58/H58)</x:f>
      </x:c>
      <x:c r="Q58" s="21" t="str">
        <x:f>IF(OR(H58="",H58=0,K58=""),"",K58/H58)</x:f>
      </x:c>
      <x:c r="R58" s="10"/>
      <x:c r="S58" s="10"/>
    </x:row>
    <x:row r="59" ht="48" customHeight="1">
      <x:c r="A59" s="9" t="n">
        <x:v>10</x:v>
      </x:c>
      <x:c r="B59" s="13" t="n">
        <x:f>'Calendrier'!$B$4+A59-1</x:f>
        <x:v>46302</x:v>
      </x:c>
      <x:c r="C59" s="9" t="str">
        <x:v>ST12</x:v>
      </x:c>
      <x:c r="D59" s="9" t="str">
        <x:v>Instagram</x:v>
      </x:c>
      <x:c r="E59" s="22"/>
      <x:c r="F59" s="23"/>
      <x:c r="G59" s="23"/>
      <x:c r="H59" s="23"/>
      <x:c r="I59" s="23"/>
      <x:c r="J59" s="23"/>
      <x:c r="K59" s="23"/>
      <x:c r="L59" s="23"/>
      <x:c r="M59" s="23"/>
      <x:c r="N59" s="23"/>
      <x:c r="O59" s="23"/>
      <x:c r="P59" s="20" t="str">
        <x:f>IF(OR(H59="",H59=0,J59=""),"",J59/H59)</x:f>
      </x:c>
      <x:c r="Q59" s="20" t="str">
        <x:f>IF(OR(H59="",H59=0,K59=""),"",K59/H59)</x:f>
      </x:c>
      <x:c r="R59" s="9"/>
      <x:c r="S59" s="9"/>
    </x:row>
    <x:row r="60" ht="48" customHeight="1">
      <x:c r="A60" s="10" t="n">
        <x:v>10</x:v>
      </x:c>
      <x:c r="B60" s="14" t="n">
        <x:f>'Calendrier'!$B$4+A60-1</x:f>
        <x:v>46302</x:v>
      </x:c>
      <x:c r="C60" s="10" t="str">
        <x:v>ST12</x:v>
      </x:c>
      <x:c r="D60" s="10" t="str">
        <x:v>Facebook</x:v>
      </x:c>
      <x:c r="E60" s="22"/>
      <x:c r="F60" s="23"/>
      <x:c r="G60" s="23"/>
      <x:c r="H60" s="23"/>
      <x:c r="I60" s="23"/>
      <x:c r="J60" s="23"/>
      <x:c r="K60" s="23"/>
      <x:c r="L60" s="23"/>
      <x:c r="M60" s="23"/>
      <x:c r="N60" s="23"/>
      <x:c r="O60" s="23"/>
      <x:c r="P60" s="21" t="str">
        <x:f>IF(OR(H60="",H60=0,J60=""),"",J60/H60)</x:f>
      </x:c>
      <x:c r="Q60" s="21" t="str">
        <x:f>IF(OR(H60="",H60=0,K60=""),"",K60/H60)</x:f>
      </x:c>
      <x:c r="R60" s="10"/>
      <x:c r="S60" s="10"/>
    </x:row>
    <x:row r="61" ht="48" customHeight="1">
      <x:c r="A61" s="9" t="n">
        <x:v>11</x:v>
      </x:c>
      <x:c r="B61" s="13" t="n">
        <x:f>'Calendrier'!$B$4+A61-1</x:f>
        <x:v>46303</x:v>
      </x:c>
      <x:c r="C61" s="9" t="str">
        <x:v>ST13</x:v>
      </x:c>
      <x:c r="D61" s="9" t="str">
        <x:v>Instagram</x:v>
      </x:c>
      <x:c r="E61" s="22"/>
      <x:c r="F61" s="23"/>
      <x:c r="G61" s="23"/>
      <x:c r="H61" s="23"/>
      <x:c r="I61" s="23"/>
      <x:c r="J61" s="23"/>
      <x:c r="K61" s="23"/>
      <x:c r="L61" s="23"/>
      <x:c r="M61" s="23"/>
      <x:c r="N61" s="23"/>
      <x:c r="O61" s="23"/>
      <x:c r="P61" s="20" t="str">
        <x:f>IF(OR(H61="",H61=0,J61=""),"",J61/H61)</x:f>
      </x:c>
      <x:c r="Q61" s="20" t="str">
        <x:f>IF(OR(H61="",H61=0,K61=""),"",K61/H61)</x:f>
      </x:c>
      <x:c r="R61" s="9"/>
      <x:c r="S61" s="9"/>
    </x:row>
    <x:row r="62" ht="48" customHeight="1">
      <x:c r="A62" s="10" t="n">
        <x:v>11</x:v>
      </x:c>
      <x:c r="B62" s="14" t="n">
        <x:f>'Calendrier'!$B$4+A62-1</x:f>
        <x:v>46303</x:v>
      </x:c>
      <x:c r="C62" s="10" t="str">
        <x:v>ST13</x:v>
      </x:c>
      <x:c r="D62" s="10" t="str">
        <x:v>Facebook</x:v>
      </x:c>
      <x:c r="E62" s="22"/>
      <x:c r="F62" s="23"/>
      <x:c r="G62" s="23"/>
      <x:c r="H62" s="23"/>
      <x:c r="I62" s="23"/>
      <x:c r="J62" s="23"/>
      <x:c r="K62" s="23"/>
      <x:c r="L62" s="23"/>
      <x:c r="M62" s="23"/>
      <x:c r="N62" s="23"/>
      <x:c r="O62" s="23"/>
      <x:c r="P62" s="21" t="str">
        <x:f>IF(OR(H62="",H62=0,J62=""),"",J62/H62)</x:f>
      </x:c>
      <x:c r="Q62" s="21" t="str">
        <x:f>IF(OR(H62="",H62=0,K62=""),"",K62/H62)</x:f>
      </x:c>
      <x:c r="R62" s="10"/>
      <x:c r="S62" s="10"/>
    </x:row>
    <x:row r="63" ht="48" customHeight="1">
      <x:c r="A63" s="9" t="n">
        <x:v>12</x:v>
      </x:c>
      <x:c r="B63" s="13" t="n">
        <x:f>'Calendrier'!$B$4+A63-1</x:f>
        <x:v>46304</x:v>
      </x:c>
      <x:c r="C63" s="9" t="str">
        <x:v>ST14</x:v>
      </x:c>
      <x:c r="D63" s="9" t="str">
        <x:v>Instagram</x:v>
      </x:c>
      <x:c r="E63" s="22"/>
      <x:c r="F63" s="23"/>
      <x:c r="G63" s="23"/>
      <x:c r="H63" s="23"/>
      <x:c r="I63" s="23"/>
      <x:c r="J63" s="23"/>
      <x:c r="K63" s="23"/>
      <x:c r="L63" s="23"/>
      <x:c r="M63" s="23"/>
      <x:c r="N63" s="23"/>
      <x:c r="O63" s="23"/>
      <x:c r="P63" s="20" t="str">
        <x:f>IF(OR(H63="",H63=0,J63=""),"",J63/H63)</x:f>
      </x:c>
      <x:c r="Q63" s="20" t="str">
        <x:f>IF(OR(H63="",H63=0,K63=""),"",K63/H63)</x:f>
      </x:c>
      <x:c r="R63" s="9"/>
      <x:c r="S63" s="9"/>
    </x:row>
    <x:row r="64" ht="48" customHeight="1">
      <x:c r="A64" s="10" t="n">
        <x:v>12</x:v>
      </x:c>
      <x:c r="B64" s="14" t="n">
        <x:f>'Calendrier'!$B$4+A64-1</x:f>
        <x:v>46304</x:v>
      </x:c>
      <x:c r="C64" s="10" t="str">
        <x:v>ST14</x:v>
      </x:c>
      <x:c r="D64" s="10" t="str">
        <x:v>Facebook</x:v>
      </x:c>
      <x:c r="E64" s="22"/>
      <x:c r="F64" s="23"/>
      <x:c r="G64" s="23"/>
      <x:c r="H64" s="23"/>
      <x:c r="I64" s="23"/>
      <x:c r="J64" s="23"/>
      <x:c r="K64" s="23"/>
      <x:c r="L64" s="23"/>
      <x:c r="M64" s="23"/>
      <x:c r="N64" s="23"/>
      <x:c r="O64" s="23"/>
      <x:c r="P64" s="21" t="str">
        <x:f>IF(OR(H64="",H64=0,J64=""),"",J64/H64)</x:f>
      </x:c>
      <x:c r="Q64" s="21" t="str">
        <x:f>IF(OR(H64="",H64=0,K64=""),"",K64/H64)</x:f>
      </x:c>
      <x:c r="R64" s="10"/>
      <x:c r="S64" s="10"/>
    </x:row>
    <x:row r="65" ht="48" customHeight="1">
      <x:c r="A65" s="9" t="n">
        <x:v>13</x:v>
      </x:c>
      <x:c r="B65" s="13" t="n">
        <x:f>'Calendrier'!$B$4+A65-1</x:f>
        <x:v>46305</x:v>
      </x:c>
      <x:c r="C65" s="9" t="str">
        <x:v>ST15</x:v>
      </x:c>
      <x:c r="D65" s="9" t="str">
        <x:v>Instagram</x:v>
      </x:c>
      <x:c r="E65" s="22"/>
      <x:c r="F65" s="23"/>
      <x:c r="G65" s="23"/>
      <x:c r="H65" s="23"/>
      <x:c r="I65" s="23"/>
      <x:c r="J65" s="23"/>
      <x:c r="K65" s="23"/>
      <x:c r="L65" s="23"/>
      <x:c r="M65" s="23"/>
      <x:c r="N65" s="23"/>
      <x:c r="O65" s="23"/>
      <x:c r="P65" s="20" t="str">
        <x:f>IF(OR(H65="",H65=0,J65=""),"",J65/H65)</x:f>
      </x:c>
      <x:c r="Q65" s="20" t="str">
        <x:f>IF(OR(H65="",H65=0,K65=""),"",K65/H65)</x:f>
      </x:c>
      <x:c r="R65" s="9"/>
      <x:c r="S65" s="9"/>
    </x:row>
    <x:row r="66" ht="48" customHeight="1">
      <x:c r="A66" s="10" t="n">
        <x:v>13</x:v>
      </x:c>
      <x:c r="B66" s="14" t="n">
        <x:f>'Calendrier'!$B$4+A66-1</x:f>
        <x:v>46305</x:v>
      </x:c>
      <x:c r="C66" s="10" t="str">
        <x:v>ST15</x:v>
      </x:c>
      <x:c r="D66" s="10" t="str">
        <x:v>Facebook</x:v>
      </x:c>
      <x:c r="E66" s="22"/>
      <x:c r="F66" s="23"/>
      <x:c r="G66" s="23"/>
      <x:c r="H66" s="23"/>
      <x:c r="I66" s="23"/>
      <x:c r="J66" s="23"/>
      <x:c r="K66" s="23"/>
      <x:c r="L66" s="23"/>
      <x:c r="M66" s="23"/>
      <x:c r="N66" s="23"/>
      <x:c r="O66" s="23"/>
      <x:c r="P66" s="21" t="str">
        <x:f>IF(OR(H66="",H66=0,J66=""),"",J66/H66)</x:f>
      </x:c>
      <x:c r="Q66" s="21" t="str">
        <x:f>IF(OR(H66="",H66=0,K66=""),"",K66/H66)</x:f>
      </x:c>
      <x:c r="R66" s="10"/>
      <x:c r="S66" s="10"/>
    </x:row>
    <x:row r="67" ht="48" customHeight="1">
      <x:c r="A67" s="9" t="n">
        <x:v>14</x:v>
      </x:c>
      <x:c r="B67" s="13" t="n">
        <x:f>'Calendrier'!$B$4+A67-1</x:f>
        <x:v>46306</x:v>
      </x:c>
      <x:c r="C67" s="9" t="str">
        <x:v>ST16</x:v>
      </x:c>
      <x:c r="D67" s="9" t="str">
        <x:v>Instagram</x:v>
      </x:c>
      <x:c r="E67" s="22"/>
      <x:c r="F67" s="23"/>
      <x:c r="G67" s="23"/>
      <x:c r="H67" s="23"/>
      <x:c r="I67" s="23"/>
      <x:c r="J67" s="23"/>
      <x:c r="K67" s="23"/>
      <x:c r="L67" s="23"/>
      <x:c r="M67" s="23"/>
      <x:c r="N67" s="23"/>
      <x:c r="O67" s="23"/>
      <x:c r="P67" s="20" t="str">
        <x:f>IF(OR(H67="",H67=0,J67=""),"",J67/H67)</x:f>
      </x:c>
      <x:c r="Q67" s="20" t="str">
        <x:f>IF(OR(H67="",H67=0,K67=""),"",K67/H67)</x:f>
      </x:c>
      <x:c r="R67" s="9"/>
      <x:c r="S67" s="9"/>
    </x:row>
    <x:row r="68" ht="48" customHeight="1">
      <x:c r="A68" s="10" t="n">
        <x:v>14</x:v>
      </x:c>
      <x:c r="B68" s="14" t="n">
        <x:f>'Calendrier'!$B$4+A68-1</x:f>
        <x:v>46306</x:v>
      </x:c>
      <x:c r="C68" s="10" t="str">
        <x:v>ST16</x:v>
      </x:c>
      <x:c r="D68" s="10" t="str">
        <x:v>Facebook</x:v>
      </x:c>
      <x:c r="E68" s="22"/>
      <x:c r="F68" s="23"/>
      <x:c r="G68" s="23"/>
      <x:c r="H68" s="23"/>
      <x:c r="I68" s="23"/>
      <x:c r="J68" s="23"/>
      <x:c r="K68" s="23"/>
      <x:c r="L68" s="23"/>
      <x:c r="M68" s="23"/>
      <x:c r="N68" s="23"/>
      <x:c r="O68" s="23"/>
      <x:c r="P68" s="21" t="str">
        <x:f>IF(OR(H68="",H68=0,J68=""),"",J68/H68)</x:f>
      </x:c>
      <x:c r="Q68" s="21" t="str">
        <x:f>IF(OR(H68="",H68=0,K68=""),"",K68/H68)</x:f>
      </x:c>
      <x:c r="R68" s="10"/>
      <x:c r="S68" s="10"/>
    </x:row>
  </x:sheetData>
  <x:pageMargins left="0.7" right="0.7" top="0.75" bottom="0.75" header="0.3" footer="0.3"/>
  <x:tableParts count="1">
    <x:tablePart xmlns:r="http://schemas.openxmlformats.org/officeDocument/2006/relationships" r:id="R02a59c6db7114797"/>
  </x:tableParts>
</x:worksheet>
</file>

<file path=xl/worksheets/sheet6.xml><?xml version="1.0" encoding="utf-8"?>
<x:worksheet xmlns:x="http://schemas.openxmlformats.org/spreadsheetml/2006/main">
  <x:sheetPr>
    <x:tabColor rgb="FF176B5B"/>
  </x:sheetPr>
  <x:sheetViews>
    <x:sheetView showGridLines="0" workbookViewId="0">
      <x:pane ySplit="4" topLeftCell="A5" activePane="bottomLeft" state="frozen"/>
    </x:sheetView>
  </x:sheetViews>
  <x:sheetFormatPr defaultRowHeight="15"/>
  <x:cols>
    <x:col min="1" max="1" width="10.630000114440918" hidden="0" customWidth="1"/>
    <x:col min="2" max="2" width="37.5" hidden="0" customWidth="1"/>
    <x:col min="3" max="3" width="61.25" hidden="0" customWidth="1"/>
    <x:col min="4" max="4" width="73.75" hidden="0" customWidth="1"/>
    <x:col min="5" max="5" width="15.630000114440918" hidden="0" customWidth="1"/>
    <x:col min="6" max="6" width="58.75" hidden="0" customWidth="1"/>
    <x:col min="7" max="7" width="93.75" hidden="0" customWidth="1"/>
  </x:cols>
  <x:sheetData>
    <x:row r="1" ht="28" customHeight="1">
      <x:c r="A1" s="2" t="str">
        <x:v>Registre des sources</x:v>
      </x:c>
      <x:c r="B1" s="1"/>
      <x:c r="C1" s="1"/>
      <x:c r="D1" s="1"/>
      <x:c r="E1" s="1"/>
      <x:c r="F1" s="1"/>
      <x:c r="G1" s="1"/>
    </x:row>
    <x:row r="2">
      <x:c r="A2" s="3" t="str">
        <x:v>Sources officielles consultées le 21/09/2026. La date de consultation ne vaut pas date de mise à jour des règles.</x:v>
      </x:c>
      <x:c r="B2" s="1"/>
      <x:c r="C2" s="1"/>
      <x:c r="D2" s="1"/>
      <x:c r="E2" s="1"/>
      <x:c r="F2" s="1"/>
      <x:c r="G2" s="1"/>
    </x:row>
    <x:row r="3">
      <x:c r="A3" s="1"/>
      <x:c r="B3" s="1"/>
      <x:c r="C3" s="1"/>
      <x:c r="D3" s="1"/>
      <x:c r="E3" s="1"/>
      <x:c r="F3" s="1"/>
      <x:c r="G3" s="1"/>
    </x:row>
    <x:row r="4" ht="36" customHeight="1">
      <x:c r="A4" s="7" t="str">
        <x:v>Référence</x:v>
      </x:c>
      <x:c r="B4" s="7" t="str">
        <x:v>Sujet</x:v>
      </x:c>
      <x:c r="C4" s="7" t="str">
        <x:v>Formulation prudente</x:v>
      </x:c>
      <x:c r="D4" s="7" t="str">
        <x:v>URL officielle</x:v>
      </x:c>
      <x:c r="E4" s="7" t="str">
        <x:v>Consultation</x:v>
      </x:c>
      <x:c r="F4" s="7" t="str">
        <x:v>Date affichée / contexte</x:v>
      </x:c>
      <x:c r="G4" s="7" t="str">
        <x:v>Limite</x:v>
      </x:c>
    </x:row>
    <x:row r="5" ht="210" customHeight="1">
      <x:c r="A5" s="9" t="str">
        <x:v>S01</x:v>
      </x:c>
      <x:c r="B5" s="9" t="str">
        <x:v>Consulter le parcours visa actuel à Tunis</x:v>
      </x:c>
      <x:c r="C5" s="9" t="str">
        <x:v> Pour un projet d’études en Allemagne, consulte la rubrique visa de l’Ambassade d’Allemagne à Tunis et le parcours correspondant à ton séjour. La demande en ligne via le portail consulaire est proposée pour les études et la préparation aux études. </x:v>
      </x:c>
      <x:c r="D5" s="9" t="str">
        <x:v>https://tunis.diplo.de/tn-fr/service/05-visaeinreise/1672716-1672716</x:v>
      </x:c>
      <x:c r="E5" s="13" t="n">
        <x:v>46286</x:v>
      </x:c>
      <x:c r="F5" s="9" t="str">
        <x:v>date d’article affichée **29 juin 2026**.</x:v>
      </x:c>
      <x:c r="G5" s="9" t="str">
        <x:v>suivre les instructions du parcours choisi. Ne pas présenter l’ancienne inscription sur liste d’attente/TLS comme une procédure universelle actuelle. Les règles applicables à d’autres motifs de séjour ne se transposent pas automatiquement aux études.</x:v>
      </x:c>
    </x:row>
    <x:row r="6" ht="210" customHeight="1">
      <x:c r="A6" s="10" t="str">
        <x:v>S02</x:v>
      </x:c>
      <x:c r="B6" s="10" t="str">
        <x:v>Admission et visa sont deux décisions distinctes</x:v>
      </x:c>
      <x:c r="C6" s="10" t="str">
        <x:v> Une admission universitaire ne garantit pas un visa. L’ambassade examine le dossier et peut demander des pièces complémentaires. </x:v>
      </x:c>
      <x:c r="D6" s="10" t="str">
        <x:v>https://tunis.diplo.de/tn-fr/service/05-visaeinreise/2573172-2573172
https://tunis.diplo.de/tn-fr/service/05-visaeinreise/1672716-1672716</x:v>
      </x:c>
      <x:c r="E6" s="14" t="n">
        <x:v>46286</x:v>
      </x:c>
      <x:c r="F6" s="10" t="str">
        <x:v>dates d’article affichées **25 juillet 2024** et **29 juin 2026**, respectivement.</x:v>
      </x:c>
      <x:c r="G6" s="10" t="str">
        <x:v>la checklist Études reste accessible et liée depuis la page générale ; son ancien paragraphe sur la prise de rendez-vous doit être rapproché du portail annoncé en 2026. Ne pas en faire une checklist exhaustive ou figée.</x:v>
      </x:c>
    </x:row>
    <x:row r="7" ht="210" customHeight="1">
      <x:c r="A7" s="9" t="str">
        <x:v>S03</x:v>
      </x:c>
      <x:c r="B7" s="9" t="str">
        <x:v>Vérifier le financement demandé, en plus du budget réel</x:v>
      </x:c>
      <x:c r="C7" s="9" t="str">
        <x:v> Prévois le coût de tes études et de ta vie sur place, puis vérifie la preuve de financement exigée pour ton visa. </x:v>
      </x:c>
      <x:c r="D7" s="9" t="str">
        <x:v>https://www.make-it-in-germany.com/en/visa-residence/types/studying
https://www.daad.de/en/studying-in-germany/living-in-germany/finances/</x:v>
      </x:c>
      <x:c r="E7" s="13" t="n">
        <x:v>46286</x:v>
      </x:c>
      <x:c r="F7" s="9" t="str">
        <x:v>date éditoriale générale non affichée ; le portail fédéral comporte des montants explicitement référencés à **2026**. La page DAAD contient aussi des références chiffrées antérieures, non reprises ici.</x:v>
      </x:c>
      <x:c r="G7" s="9" t="str">
        <x:v>le portail fédéral cite notamment compte bloqué, bourse ou engagement de prise en charge ; leur recevabilité et les justificatifs doivent être vérifiés dans le parcours consulaire applicable. Un minimum justificatif n’est pas une estimation personnalisée du coût total. Vérifier séparément logement, assurance, vie courante, contribution semestrielle et éventuels frais de scolarité.</x:v>
      </x:c>
    </x:row>
    <x:row r="8" ht="210" customHeight="1">
      <x:c r="A8" s="10" t="str">
        <x:v>S04</x:v>
      </x:c>
      <x:c r="B8" s="10" t="str">
        <x:v>La voie de candidature dépend du cursus et du profil</x:v>
      </x:c>
      <x:c r="C8" s="10" t="str">
        <x:v> Vérifie sur le site du programme si tu dois candidater directement, via uni-assist, ou avec une VPD. </x:v>
      </x:c>
      <x:c r="D8" s="10" t="str">
        <x:v>https://www.uni-assist.de/en/faqs/get-information/
https://www.uni-assist.de/en/how-to-apply/plan-your-application/vpd/</x:v>
      </x:c>
      <x:c r="E8" s="14" t="n">
        <x:v>46286</x:v>
      </x:c>
      <x:c r="F8" s="10" t="str">
        <x:v>non affichée.</x:v>
      </x:c>
      <x:c r="G8" s="10" t="str">
        <x:v>l’adhésion d’une université à uni-assist ne signifie pas que tous ses cursus et tous les profils passent par cet organisme. L’université décide de l’admission. uni-assist précise aussi ne pas coopérer avec les agences commerciales et ne pas accorder de priorité aux dossiers soumis par une agence ; AlmaGo ne doit donc pas promettre affiliation ou priorité.</x:v>
      </x:c>
    </x:row>
    <x:row r="9" ht="210" customHeight="1">
      <x:c r="A9" s="9" t="str">
        <x:v>S05</x:v>
      </x:c>
      <x:c r="B9" s="9" t="str">
        <x:v>Une VPD n’est pas une admission</x:v>
      </x:c>
      <x:c r="C9" s="9" t="str">
        <x:v> La VPD est une évaluation préalable de tes documents. Tu dois ensuite l’utiliser pour candidater directement auprès de l’université dans son délai. </x:v>
      </x:c>
      <x:c r="D9" s="9" t="str">
        <x:v>https://www.uni-assist.de/en/how-to-apply/plan-your-application/vpd/</x:v>
      </x:c>
      <x:c r="E9" s="13" t="n">
        <x:v>46286</x:v>
      </x:c>
      <x:c r="F9" s="9" t="str">
        <x:v>non affichée.</x:v>
      </x:c>
      <x:c r="G9" s="9" t="str">
        <x:v>vérifier si la VPD est exigée pour le profil et le cursus visés. Ne pas confondre demande de VPD, dépôt de candidature et décision d’admission. Ne pas promettre une durée de traitement.</x:v>
      </x:c>
    </x:row>
    <x:row r="10" ht="210" customHeight="1">
      <x:c r="A10" s="10" t="str">
        <x:v>S06</x:v>
      </x:c>
      <x:c r="B10" s="10" t="str">
        <x:v>Il n’existe pas une échéance unique pour toutes les candidatures</x:v>
      </x:c>
      <x:c r="C10" s="10" t="str">
        <x:v> Note les dates propres à chaque programme et prévois une marge pour préparer un dossier complet. </x:v>
      </x:c>
      <x:c r="D10" s="10" t="str">
        <x:v>https://www.uni-assist.de/en/faqs/plan-your-application/</x:v>
      </x:c>
      <x:c r="E10" s="14" t="n">
        <x:v>46286</x:v>
      </x:c>
      <x:c r="F10" s="10" t="str">
        <x:v>non affichée.</x:v>
      </x:c>
      <x:c r="G10" s="10" t="str">
        <x:v>les établissements fixent leurs périodes et échéances ; des conditions varient selon le cursus et parfois l’origine du candidat. En procédure VPD, il faut aussi respecter la date de candidature auprès de l’université. Une recommandation d’anticipation n’est pas un délai garanti.</x:v>
      </x:c>
    </x:row>
    <x:row r="11" ht="210" customHeight="1">
      <x:c r="A11" s="9" t="str">
        <x:v>S07</x:v>
      </x:c>
      <x:c r="B11" s="9" t="str">
        <x:v>Documents complets et traductions conformes au destinataire</x:v>
      </x:c>
      <x:c r="C11" s="9" t="str">
        <x:v> Prépare tes diplômes et relevés complets, dans leur langue originale, avec les traductions requises. Vérifie la liste propre au cursus. </x:v>
      </x:c>
      <x:c r="D11" s="9" t="str">
        <x:v>https://www.uni-assist.de/en/how-to-apply/assemble-your-documents/educational-certificates/
https://www.uni-assist.de/en/how-to-apply/assemble-your-documents/translations/
https://www.uni-assist.de/en/faqs/assemble-your-documents/</x:v>
      </x:c>
      <x:c r="E11" s="13" t="n">
        <x:v>46286</x:v>
      </x:c>
      <x:c r="F11" s="9" t="str">
        <x:v>non affichée.</x:v>
      </x:c>
      <x:c r="G11" s="9" t="str">
        <x:v>uni-assist demande généralement traduction en allemand ou en anglais, avec ses règles de certification et ses exceptions par pays. Un dossier visa relève d’autres instructions : ne pas fusionner les deux listes. CV, lettre de motivation, attestations ou autres pièces dépendent du programme.</x:v>
      </x:c>
    </x:row>
    <x:row r="12" ht="210" customHeight="1">
      <x:c r="A12" s="10" t="str">
        <x:v>S08</x:v>
      </x:c>
      <x:c r="B12" s="10" t="str">
        <x:v>Des consignes documentaires existent spécialement pour la Tunisie</x:v>
      </x:c>
      <x:c r="C12" s="10" t="str">
        <x:v> Consulte aussi la fiche Tunisie de uni-assist : elle complète les consignes générales. </x:v>
      </x:c>
      <x:c r="D12" s="10" t="str">
        <x:v>https://www.uni-assist.de/en/tools/info-country-by-country/details-country/country/tn/</x:v>
      </x:c>
      <x:c r="E12" s="14" t="n">
        <x:v>46286</x:v>
      </x:c>
      <x:c r="F12" s="10" t="str">
        <x:v>non affichée.</x:v>
      </x:c>
      <x:c r="G12" s="10" t="str">
        <x:v>ces consignes concernent les documents pour uni-assist ; elles ne prouvent pas une équivalence générale du bac tunisien ni une admission.</x:v>
      </x:c>
    </x:row>
    <x:row r="13" ht="210" customHeight="1">
      <x:c r="A13" s="9" t="str">
        <x:v>S09</x:v>
      </x:c>
      <x:c r="B13" s="9" t="str">
        <x:v>Langue et certificat doivent être vérifiés programme par programme</x:v>
      </x:c>
      <x:c r="C13" s="9" t="str">
        <x:v> Le niveau et les certificats acceptés dépendent du cursus. Un programme enseigné en anglais peut aussi demander une preuve d’allemand. </x:v>
      </x:c>
      <x:c r="D13" s="9" t="str">
        <x:v>https://www.uni-assist.de/en/how-to-apply/assemble-your-documents/language-certificates/</x:v>
      </x:c>
      <x:c r="E13" s="13" t="n">
        <x:v>46286</x:v>
      </x:c>
      <x:c r="F13" s="9" t="str">
        <x:v>non affichée.</x:v>
      </x:c>
      <x:c r="G13" s="9" t="str">
        <x:v>ne pas annoncer « B2 suffit », « C1 obligatoire partout » ou « études en anglais = aucun allemand ». Une attestation de participation à un cours n’équivaut pas automatiquement à un certificat accepté. Contrôler le niveau, le test et les modalités sur la page du programme.</x:v>
      </x:c>
    </x:row>
    <x:row r="14" ht="210" customHeight="1">
      <x:c r="A14" s="10" t="str">
        <x:v>S10</x:v>
      </x:c>
      <x:c r="B14" s="10" t="str">
        <x:v>L’outil DAAD donne une orientation, pas une décision d’admission</x:v>
      </x:c>
      <x:c r="C14" s="10" t="str">
        <x:v> Vérifie ton parcours scolaire dans la base d’admission du DAAD, puis confirme les conditions auprès de l’établissement visé. </x:v>
      </x:c>
      <x:c r="D14" s="10" t="str">
        <x:v>https://www.daad.de/en/studying-in-germany/requirements/admission-database/</x:v>
      </x:c>
      <x:c r="E14" s="14" t="n">
        <x:v>46286</x:v>
      </x:c>
      <x:c r="F14" s="10" t="str">
        <x:v>non affichée.</x:v>
      </x:c>
      <x:c r="G14" s="10" t="str">
        <x:v>l’outil précise que ses résultats concernent les cursus de premier cycle et sont indicatifs ; la décision finale appartient à l’établissement. Aucun résultat individuel n’a été établi pour un diplôme tunisien dans cette fiche. Ne pas publier de règle générale « bac tunisien = accès direct » ou « bac tunisien = Studienkolleg obligatoire ».</x:v>
      </x:c>
    </x:row>
    <x:row r="15" ht="210" customHeight="1">
      <x:c r="A15" s="9" t="str">
        <x:v>S11</x:v>
      </x:c>
      <x:c r="B15" s="9" t="str">
        <x:v>Le Studienkolleg dépend du dossier académique</x:v>
      </x:c>
      <x:c r="C15" s="9" t="str">
        <x:v> Le Studienkolleg est une étape préparatoire qui peut être nécessaire selon ta formation. Vérifie ton cas avant de l’intégrer à ton parcours. </x:v>
      </x:c>
      <x:c r="D15" s="9" t="str">
        <x:v>https://www.uni-assist.de/en/how-to-apply/get-information/studienkolleg-preparatory-course/
https://www.make-it-in-germany.com/en/study-vocational-training/studies-in-germany/requirements</x:v>
      </x:c>
      <x:c r="E15" s="13" t="n">
        <x:v>46286</x:v>
      </x:c>
      <x:c r="F15" s="9" t="str">
        <x:v>non affichée.</x:v>
      </x:c>
      <x:c r="G15" s="9" t="str">
        <x:v>ni obligation ni dispense automatique selon la seule nationalité. Vérifier le diplôme exact, les études antérieures et la filière visée, puis les modalités de l’établissement. Ne pas confondre Studienkolleg et simple cours de langue.</x:v>
      </x:c>
    </x:row>
    <x:row r="16" ht="210" customHeight="1">
      <x:c r="A16" s="10" t="str">
        <x:v>S12</x:v>
      </x:c>
      <x:c r="B16" s="10" t="str">
        <x:v>Anticiper le logement et comparer son coût complet</x:v>
      </x:c>
      <x:c r="C16" s="10" t="str">
        <x:v> Commence tôt la recherche de logement et compare loyer, charges, dépôt de garantie et dépenses d’installation. </x:v>
      </x:c>
      <x:c r="D16" s="10" t="str">
        <x:v>https://www.daad.de/en/studying-in-germany/living-in-germany/renting/
https://www.daad.de/en/studying-in-germany/living-in-germany/finances/</x:v>
      </x:c>
      <x:c r="E16" s="14" t="n">
        <x:v>46286</x:v>
      </x:c>
      <x:c r="F16" s="10" t="str">
        <x:v>non affichée.</x:v>
      </x:c>
      <x:c r="G16" s="10" t="str">
        <x:v>les conditions et dates de candidature en résidence dépendent du gestionnaire. Ne pas promettre une place, un prix national unique ou une recherche terminée dans un délai donné. Vérifier ce qui est inclus dans les charges et ce qui se paie séparément, notamment électricité et internet.</x:v>
      </x:c>
    </x:row>
  </x:sheetData>
  <x:pageMargins left="0.7" right="0.7" top="0.75" bottom="0.75" header="0.3" footer="0.3"/>
  <x:tableParts count="1">
    <x:tablePart xmlns:r="http://schemas.openxmlformats.org/officeDocument/2006/relationships" r:id="R3debe289a5024443"/>
  </x:tableParts>
</x:worksheet>
</file>